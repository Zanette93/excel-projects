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h\OneDrive\Documentos\Trabalho\Portfolio\DESIGUALDADES REGIONAIS E QUALIDADE DE VIDA NO BRASIL\"/>
    </mc:Choice>
  </mc:AlternateContent>
  <xr:revisionPtr revIDLastSave="0" documentId="13_ncr:1_{389122C5-546D-4B51-81D9-3F6159B4EF3F}" xr6:coauthVersionLast="47" xr6:coauthVersionMax="47" xr10:uidLastSave="{00000000-0000-0000-0000-000000000000}"/>
  <bookViews>
    <workbookView xWindow="-120" yWindow="-120" windowWidth="29040" windowHeight="15720" firstSheet="8" activeTab="9" xr2:uid="{87310D3E-B2D8-437D-9ACF-A0886AE081E8}"/>
  </bookViews>
  <sheets>
    <sheet name="Estados" sheetId="3" state="hidden" r:id="rId1"/>
    <sheet name="UF e Região" sheetId="5" r:id="rId2"/>
    <sheet name="Nível de instrução" sheetId="11" r:id="rId3"/>
    <sheet name="Condição de moradia" sheetId="10" state="hidden" r:id="rId4"/>
    <sheet name="Bens em domicílio" sheetId="9" state="hidden" r:id="rId5"/>
    <sheet name="Acesso a esgoto" sheetId="8" state="hidden" r:id="rId6"/>
    <sheet name="Acesso ao abastecimento de água" sheetId="13" state="hidden" r:id="rId7"/>
    <sheet name="Renda Média" sheetId="2" state="hidden" r:id="rId8"/>
    <sheet name="Início" sheetId="17" r:id="rId9"/>
    <sheet name="Perfil Socioeconômico" sheetId="14" r:id="rId10"/>
    <sheet name="Avaliação das UF" sheetId="16" r:id="rId11"/>
    <sheet name="Fonte Dashboards" sheetId="15" state="hidden" r:id="rId12"/>
  </sheets>
  <definedNames>
    <definedName name="DadosExternos_1" localSheetId="7" hidden="1">'Renda Média'!$A$1:$C$28</definedName>
    <definedName name="DadosExternos_1" localSheetId="1" hidden="1">'UF e Região'!$A$1:$B$28</definedName>
    <definedName name="DadosExternos_2" localSheetId="6" hidden="1">'Acesso ao abastecimento de água'!$A$1:$H$28</definedName>
    <definedName name="DadosExternos_3" localSheetId="5" hidden="1">'Acesso a esgoto'!$A$1:$J$28</definedName>
    <definedName name="DadosExternos_4" localSheetId="4" hidden="1">'Bens em domicílio'!$A$1:$I$28</definedName>
    <definedName name="DadosExternos_5" localSheetId="3" hidden="1">'Condição de moradia'!$A$1:$I$28</definedName>
    <definedName name="DadosExternos_6" localSheetId="2" hidden="1">'Nível de instrução'!$A$1:$I$28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9" i="15" l="1"/>
  <c r="C70" i="15"/>
  <c r="C71" i="15"/>
  <c r="C72" i="15"/>
  <c r="C73" i="15"/>
  <c r="C99" i="15" s="1" a="1"/>
  <c r="C99" i="15" s="1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E124" i="15" a="1"/>
  <c r="E124" i="15" s="1"/>
  <c r="E118" i="15" a="1"/>
  <c r="E118" i="15" s="1"/>
  <c r="F124" i="15" a="1"/>
  <c r="F124" i="15" s="1"/>
  <c r="F118" i="15" a="1"/>
  <c r="F118" i="15" s="1"/>
  <c r="D110" i="15" a="1"/>
  <c r="D110" i="15" s="1"/>
  <c r="F110" i="15" a="1"/>
  <c r="F110" i="15" s="1"/>
  <c r="B110" i="15" a="1"/>
  <c r="B110" i="15" s="1"/>
  <c r="D99" i="15" a="1"/>
  <c r="D99" i="15" s="1"/>
  <c r="F99" i="15" a="1"/>
  <c r="F99" i="15" s="1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110" i="15" s="1" a="1"/>
  <c r="E110" i="15" s="1"/>
  <c r="E91" i="15"/>
  <c r="E92" i="15"/>
  <c r="E93" i="15"/>
  <c r="E94" i="15"/>
  <c r="E95" i="15"/>
  <c r="E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69" i="15"/>
  <c r="B99" i="15" s="1" a="1"/>
  <c r="B99" i="15" s="1"/>
  <c r="G62" i="15" a="1"/>
  <c r="G62" i="15" s="1"/>
  <c r="H62" i="15" a="1"/>
  <c r="H62" i="15" s="1"/>
  <c r="I62" i="15" a="1"/>
  <c r="I62" i="15" s="1"/>
  <c r="J62" i="15" a="1"/>
  <c r="J62" i="15" s="1"/>
  <c r="K62" i="15" a="1"/>
  <c r="K62" i="15" s="1"/>
  <c r="L62" i="15" a="1"/>
  <c r="L62" i="15" s="1"/>
  <c r="F62" i="15" a="1"/>
  <c r="F62" i="15" s="1"/>
  <c r="H49" i="15" a="1"/>
  <c r="H49" i="15" s="1"/>
  <c r="G49" i="15" a="1"/>
  <c r="G49" i="15" s="1"/>
  <c r="F49" i="15" a="1"/>
  <c r="F49" i="15" s="1"/>
  <c r="G36" i="15" a="1"/>
  <c r="G36" i="15" s="1"/>
  <c r="F36" i="15" a="1"/>
  <c r="F36" i="15" s="1"/>
  <c r="G25" i="15" a="1"/>
  <c r="G25" i="15" s="1"/>
  <c r="F25" i="15" a="1"/>
  <c r="F25" i="15" s="1"/>
  <c r="G10" i="15" a="1"/>
  <c r="G10" i="15" s="1"/>
  <c r="F10" i="15" a="1"/>
  <c r="F10" i="15" s="1"/>
  <c r="BA7" i="14" a="1"/>
  <c r="BA7" i="14" s="1"/>
  <c r="E99" i="15" l="1" a="1"/>
  <c r="E99" i="15" s="1"/>
  <c r="C118" i="15" a="1"/>
  <c r="C118" i="15" s="1"/>
  <c r="C110" i="15" a="1"/>
  <c r="C110" i="15" s="1"/>
  <c r="C124" i="15" s="1" a="1"/>
  <c r="C124" i="15" s="1"/>
  <c r="B118" i="15" a="1"/>
  <c r="B118" i="15" s="1"/>
  <c r="B124" i="15" l="1" a="1"/>
  <c r="B12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27E88E-3B1E-4530-8829-64D220243510}" keepAlive="1" name="Consulta - Acesso a esgoto" description="Conexão com a consulta 'Acesso a esgoto' na pasta de trabalho." type="5" refreshedVersion="7" background="1" saveData="1">
    <dbPr connection="Provider=Microsoft.Mashup.OleDb.1;Data Source=$Workbook$;Location=&quot;Acesso a esgoto&quot;;Extended Properties=&quot;&quot;" command="SELECT * FROM [Acesso a esgoto]"/>
  </connection>
  <connection id="2" xr16:uid="{041F08A1-CC2B-4E8B-BE4C-EF2F2B300E6D}" keepAlive="1" name="Consulta - Acesso ao abastecimento de água" description="Conexão com a consulta 'Acesso ao abastecimento de água' na pasta de trabalho." type="5" refreshedVersion="7" background="1" saveData="1">
    <dbPr connection="Provider=Microsoft.Mashup.OleDb.1;Data Source=$Workbook$;Location=&quot;Acesso ao abastecimento de água&quot;;Extended Properties=&quot;&quot;" command="SELECT * FROM [Acesso ao abastecimento de água]"/>
  </connection>
  <connection id="3" xr16:uid="{FAA9CC64-D892-4F9F-863C-559172683FD4}" keepAlive="1" name="Consulta - Bens em domicílio" description="Conexão com a consulta 'Bens em domicílio' na pasta de trabalho." type="5" refreshedVersion="7" background="1" saveData="1">
    <dbPr connection="Provider=Microsoft.Mashup.OleDb.1;Data Source=$Workbook$;Location=&quot;Bens em domicílio&quot;;Extended Properties=&quot;&quot;" command="SELECT * FROM [Bens em domicílio]"/>
  </connection>
  <connection id="4" xr16:uid="{0FB48F37-FEED-4584-ACEB-7DD35AC832FA}" keepAlive="1" name="Consulta - Condição de moradia" description="Conexão com a consulta 'Condição de moradia' na pasta de trabalho." type="5" refreshedVersion="7" background="1" saveData="1">
    <dbPr connection="Provider=Microsoft.Mashup.OleDb.1;Data Source=$Workbook$;Location=&quot;Condição de moradia&quot;;Extended Properties=&quot;&quot;" command="SELECT * FROM [Condição de moradia]"/>
  </connection>
  <connection id="5" xr16:uid="{AC0A763C-E00D-45C6-916F-9BDB4AE658BA}" keepAlive="1" name="Consulta - Mesclar1" description="Conexão com a consulta 'Mesclar1' na pasta de trabalho." type="5" refreshedVersion="7" background="1" saveData="1">
    <dbPr connection="Provider=Microsoft.Mashup.OleDb.1;Data Source=$Workbook$;Location=Mesclar1;Extended Properties=&quot;&quot;" command="SELECT * FROM [Mesclar1]"/>
  </connection>
  <connection id="6" xr16:uid="{7737FEF9-0058-44A7-8699-482DA13CF8AD}" keepAlive="1" name="Consulta - Nível de instrução" description="Conexão com a consulta 'Nível de instrução' na pasta de trabalho." type="5" refreshedVersion="7" background="1" saveData="1">
    <dbPr connection="Provider=Microsoft.Mashup.OleDb.1;Data Source=$Workbook$;Location=&quot;Nível de instrução&quot;;Extended Properties=&quot;&quot;" command="SELECT * FROM [Nível de instrução]"/>
  </connection>
  <connection id="7" xr16:uid="{1708A666-D2B9-4E38-84B8-85B8E57C28FF}" keepAlive="1" name="Consulta - Renda Média" description="Conexão com a consulta 'Renda Média' na pasta de trabalho." type="5" refreshedVersion="7" background="1" saveData="1">
    <dbPr connection="Provider=Microsoft.Mashup.OleDb.1;Data Source=$Workbook$;Location=&quot;Renda Média&quot;;Extended Properties=&quot;&quot;" command="SELECT * FROM [Renda Média]"/>
  </connection>
  <connection id="8" xr16:uid="{5B513496-34E3-4C2D-8C69-A7F66EE831FD}" keepAlive="1" name="Consulta - UF e Região" description="Conexão com a consulta 'UF e Região' na pasta de trabalho." type="5" refreshedVersion="7" background="1" saveData="1">
    <dbPr connection="Provider=Microsoft.Mashup.OleDb.1;Data Source=$Workbook$;Location=&quot;UF e Região&quot;;Extended Properties=&quot;&quot;" command="SELECT * FROM [UF e Regiã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<sst xmlns="http://schemas.openxmlformats.org/spreadsheetml/2006/main" count="636" uniqueCount="131">
  <si>
    <t>Norte</t>
  </si>
  <si>
    <t>Rondônia</t>
  </si>
  <si>
    <t>Acre</t>
  </si>
  <si>
    <t>Amazonas</t>
  </si>
  <si>
    <t>Roraima</t>
  </si>
  <si>
    <t>Pará</t>
  </si>
  <si>
    <t>Amapá</t>
  </si>
  <si>
    <t>Tocantins</t>
  </si>
  <si>
    <t>Nordeste</t>
  </si>
  <si>
    <t>Maranhão</t>
  </si>
  <si>
    <t>Piauí</t>
  </si>
  <si>
    <t>Ceará</t>
  </si>
  <si>
    <t>Rio Grande do Norte</t>
  </si>
  <si>
    <t>Paraíba</t>
  </si>
  <si>
    <t>Pernambuco</t>
  </si>
  <si>
    <t>Alagoas</t>
  </si>
  <si>
    <t>Sergipe</t>
  </si>
  <si>
    <t>Bahia</t>
  </si>
  <si>
    <t>Sudeste</t>
  </si>
  <si>
    <t>Minas Gerais</t>
  </si>
  <si>
    <t>Espírito Santo</t>
  </si>
  <si>
    <t>Rio de Janeiro</t>
  </si>
  <si>
    <t>São Paulo</t>
  </si>
  <si>
    <t>Sul</t>
  </si>
  <si>
    <t>Paraná</t>
  </si>
  <si>
    <t>Santa Catarina</t>
  </si>
  <si>
    <t>Rio Grande do Sul</t>
  </si>
  <si>
    <t>Centro-Oeste</t>
  </si>
  <si>
    <t>Mato Grosso do Sul</t>
  </si>
  <si>
    <t>Mato Grosso</t>
  </si>
  <si>
    <t>Goiás</t>
  </si>
  <si>
    <t>Distrito Federal</t>
  </si>
  <si>
    <t>Região</t>
  </si>
  <si>
    <t>UF</t>
  </si>
  <si>
    <t>ID_UF</t>
  </si>
  <si>
    <t>Renda Média</t>
  </si>
  <si>
    <t>Outra forma</t>
  </si>
  <si>
    <t>Rede Geral ou Pluvial</t>
  </si>
  <si>
    <t>Fossa séptica ligada à rede</t>
  </si>
  <si>
    <t>Fossa séptica não ligada à rede</t>
  </si>
  <si>
    <t>Fossa rudimentar</t>
  </si>
  <si>
    <t>Vala</t>
  </si>
  <si>
    <t>Rio, lago ou mar</t>
  </si>
  <si>
    <t>Sem banheiro ou sanitário</t>
  </si>
  <si>
    <t>Telefone fixo ou ao menos um celular</t>
  </si>
  <si>
    <t>Geladeira</t>
  </si>
  <si>
    <t>Máquina de lavar roupa</t>
  </si>
  <si>
    <t>Automóvel</t>
  </si>
  <si>
    <t>Motocicleta</t>
  </si>
  <si>
    <t>Acesso à internet</t>
  </si>
  <si>
    <t>Microcomputador</t>
  </si>
  <si>
    <t>Próprio - Já pago</t>
  </si>
  <si>
    <t>Próprio - Pagando</t>
  </si>
  <si>
    <t>Alugado</t>
  </si>
  <si>
    <t>Cedido por empregador</t>
  </si>
  <si>
    <t>Cedido por familiar</t>
  </si>
  <si>
    <t>Cedido de outra forma</t>
  </si>
  <si>
    <t>Sem instrução</t>
  </si>
  <si>
    <t>Ensino fundamental incompleto</t>
  </si>
  <si>
    <t>Ensino fundamental completo</t>
  </si>
  <si>
    <t>Ensino médio incompleto</t>
  </si>
  <si>
    <t>Ensino médio completo</t>
  </si>
  <si>
    <t>Ensino superior incompleto</t>
  </si>
  <si>
    <t>Ensino superior completo</t>
  </si>
  <si>
    <t>Indicador</t>
  </si>
  <si>
    <t>Renda média</t>
  </si>
  <si>
    <t>Acesso à água</t>
  </si>
  <si>
    <t>Acesso à esgoto</t>
  </si>
  <si>
    <t>Adensamento</t>
  </si>
  <si>
    <t>Bens em domicílio</t>
  </si>
  <si>
    <t>Condição de moradia</t>
  </si>
  <si>
    <t>Nível de instrução</t>
  </si>
  <si>
    <t>Rede geral de distribuição</t>
  </si>
  <si>
    <t>Poço profundo ou artesiano</t>
  </si>
  <si>
    <t>Poço raso, freático ou cacimba</t>
  </si>
  <si>
    <t>Fonte ou nascente</t>
  </si>
  <si>
    <t>Água da chuva armazenada</t>
  </si>
  <si>
    <t>Rótulos de Linha</t>
  </si>
  <si>
    <t>Total Geral</t>
  </si>
  <si>
    <t>Média de Sem instrução</t>
  </si>
  <si>
    <t>Média de Ensino fundamental incompleto</t>
  </si>
  <si>
    <t>Média de Ensino fundamental completo</t>
  </si>
  <si>
    <t>Média de Ensino médio incompleto</t>
  </si>
  <si>
    <t>Média de Ensino médio completo</t>
  </si>
  <si>
    <t>Média de Ensino superior completo</t>
  </si>
  <si>
    <t>Média de Ensino superior incompleto</t>
  </si>
  <si>
    <t>Nível Baixo (2 Grau Incompleto ou Inferior)</t>
  </si>
  <si>
    <t>Média de Rede Geral ou Pluvial</t>
  </si>
  <si>
    <t>Média de Fossa séptica ligada à rede</t>
  </si>
  <si>
    <t>Média de Fossa séptica não ligada à rede</t>
  </si>
  <si>
    <t>Média de Fossa rudimentar</t>
  </si>
  <si>
    <t>Média de Vala</t>
  </si>
  <si>
    <t>Média de Rio, lago ou mar</t>
  </si>
  <si>
    <t>Média de Outra forma</t>
  </si>
  <si>
    <t>Acesso adequado a rede de esgoto</t>
  </si>
  <si>
    <t>Acesso precário ou inadequado a rede de esgoto</t>
  </si>
  <si>
    <t>Média de Rede geral de distribuição</t>
  </si>
  <si>
    <t>Média de Poço profundo ou artesiano</t>
  </si>
  <si>
    <t>Média de Poço raso, freático ou cacimba</t>
  </si>
  <si>
    <t>Média de Fonte ou nascente</t>
  </si>
  <si>
    <t>Média de Água da chuva armazenada</t>
  </si>
  <si>
    <t>Abastecimento adequado de água</t>
  </si>
  <si>
    <t>Abastecimento inadequado de água</t>
  </si>
  <si>
    <t>Média de Próprio - Já pago</t>
  </si>
  <si>
    <t>Média de Próprio - Pagando</t>
  </si>
  <si>
    <t>Média de Alugado</t>
  </si>
  <si>
    <t>Média de Cedido por empregador</t>
  </si>
  <si>
    <t>Média de Cedido por familiar</t>
  </si>
  <si>
    <t>Média de Cedido de outra forma</t>
  </si>
  <si>
    <t>Casa própria</t>
  </si>
  <si>
    <t>Aluguel</t>
  </si>
  <si>
    <t>Cedido por familiar, empregador ou outros</t>
  </si>
  <si>
    <t>Média de Telefone fixo ou ao menos um celular</t>
  </si>
  <si>
    <t>Média de Geladeira</t>
  </si>
  <si>
    <t>Média de Máquina de lavar roupa</t>
  </si>
  <si>
    <t>Média de Automóvel</t>
  </si>
  <si>
    <t>Média de Motocicleta</t>
  </si>
  <si>
    <t>Média de Acesso à internet</t>
  </si>
  <si>
    <t>Média de Microcomputador</t>
  </si>
  <si>
    <t>Telefone Fixo ou ao menos um celular</t>
  </si>
  <si>
    <t>Nível Alto (2 Grau Completo ou Superior)</t>
  </si>
  <si>
    <t>Perfil Socioeconômico das regiões brasileiras</t>
  </si>
  <si>
    <t>Condição de Moradia</t>
  </si>
  <si>
    <t>Nível de Instrução</t>
  </si>
  <si>
    <t>Melhores</t>
  </si>
  <si>
    <t>Piores</t>
  </si>
  <si>
    <t>K</t>
  </si>
  <si>
    <t>Acesso à Esgoto</t>
  </si>
  <si>
    <t>Abastecimento de Água</t>
  </si>
  <si>
    <t>Outras categorias</t>
  </si>
  <si>
    <t>MELHORES E PIORES INDICADORES SOCIOECONÔMICOS ENTRE AS UFs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</si>
</sst>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0.000"/>
    <numFmt numFmtId="166" formatCode="0.0%"/>
    <numFmt numFmtId="167" formatCode="0.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8"/>
      <color theme="1"/>
      <name val="Segoe UI"/>
      <family val="2"/>
    </font>
    <font>
      <sz val="24"/>
      <color theme="1"/>
      <name val="Segoe UI"/>
      <family val="2"/>
    </font>
    <font>
      <b/>
      <sz val="28"/>
      <color rgb="FF2B2C28"/>
      <name val="Segoe UI"/>
      <family val="2"/>
    </font>
    <font>
      <b/>
      <sz val="24"/>
      <color rgb="FF339989"/>
      <name val="Segoe UI"/>
      <family val="2"/>
    </font>
    <font>
      <b/>
      <sz val="28"/>
      <color rgb="FF339989"/>
      <name val="Segoe UI"/>
      <family val="2"/>
    </font>
    <font>
      <b/>
      <sz val="36"/>
      <color rgb="FF2B2C28"/>
      <name val="Segoe UI"/>
      <family val="2"/>
    </font>
    <font>
      <b/>
      <sz val="28"/>
      <color rgb="FFFDF0D5"/>
      <name val="Segoe UI"/>
      <family val="2"/>
    </font>
    <font>
      <b/>
      <sz val="18"/>
      <color rgb="FFFDF0D5"/>
      <name val="Segoe UI"/>
      <family val="2"/>
    </font>
    <font>
      <b/>
      <sz val="2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81ACC8"/>
        <bgColor indexed="64"/>
      </patternFill>
    </fill>
    <fill>
      <patternFill patternType="solid">
        <fgColor rgb="FFC1121F"/>
        <bgColor indexed="64"/>
      </patternFill>
    </fill>
    <fill>
      <patternFill patternType="solid">
        <fgColor rgb="FF2B2C2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rgb="FF339989"/>
      </top>
      <bottom/>
      <diagonal/>
    </border>
    <border>
      <left style="medium">
        <color rgb="FF339989"/>
      </left>
      <right/>
      <top style="medium">
        <color rgb="FF339989"/>
      </top>
      <bottom/>
      <diagonal/>
    </border>
    <border>
      <left/>
      <right style="medium">
        <color rgb="FF339989"/>
      </right>
      <top style="medium">
        <color rgb="FF339989"/>
      </top>
      <bottom/>
      <diagonal/>
    </border>
    <border>
      <left style="medium">
        <color rgb="FF339989"/>
      </left>
      <right/>
      <top/>
      <bottom/>
      <diagonal/>
    </border>
    <border>
      <left/>
      <right style="medium">
        <color rgb="FF339989"/>
      </right>
      <top/>
      <bottom/>
      <diagonal/>
    </border>
    <border>
      <left style="medium">
        <color rgb="FF339989"/>
      </left>
      <right/>
      <top/>
      <bottom style="medium">
        <color rgb="FF339989"/>
      </bottom>
      <diagonal/>
    </border>
    <border>
      <left/>
      <right/>
      <top/>
      <bottom style="medium">
        <color rgb="FF339989"/>
      </bottom>
      <diagonal/>
    </border>
    <border>
      <left/>
      <right style="medium">
        <color rgb="FF339989"/>
      </right>
      <top/>
      <bottom style="medium">
        <color rgb="FF33998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FDF0D5"/>
      </top>
      <bottom/>
      <diagonal/>
    </border>
    <border>
      <left style="thin">
        <color rgb="FFFDF0D5"/>
      </left>
      <right/>
      <top style="thin">
        <color rgb="FFFDF0D5"/>
      </top>
      <bottom/>
      <diagonal/>
    </border>
    <border>
      <left/>
      <right style="thin">
        <color rgb="FFFDF0D5"/>
      </right>
      <top style="thin">
        <color rgb="FFFDF0D5"/>
      </top>
      <bottom/>
      <diagonal/>
    </border>
    <border>
      <left style="thin">
        <color rgb="FFFDF0D5"/>
      </left>
      <right/>
      <top/>
      <bottom/>
      <diagonal/>
    </border>
    <border>
      <left/>
      <right style="thin">
        <color rgb="FFFDF0D5"/>
      </right>
      <top/>
      <bottom/>
      <diagonal/>
    </border>
    <border>
      <left style="thin">
        <color rgb="FFFDF0D5"/>
      </left>
      <right/>
      <top/>
      <bottom style="thin">
        <color rgb="FFFDF0D5"/>
      </bottom>
      <diagonal/>
    </border>
    <border>
      <left/>
      <right/>
      <top/>
      <bottom style="thin">
        <color rgb="FFFDF0D5"/>
      </bottom>
      <diagonal/>
    </border>
    <border>
      <left/>
      <right style="thin">
        <color rgb="FFFDF0D5"/>
      </right>
      <top/>
      <bottom style="thin">
        <color rgb="FFFDF0D5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/>
    </xf>
    <xf numFmtId="44" fontId="5" fillId="0" borderId="0" xfId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9" fontId="0" fillId="0" borderId="0" xfId="2" applyFont="1" applyBorder="1" applyAlignment="1">
      <alignment vertical="center"/>
    </xf>
    <xf numFmtId="9" fontId="0" fillId="0" borderId="0" xfId="2" applyFont="1" applyBorder="1" applyAlignment="1"/>
    <xf numFmtId="0" fontId="7" fillId="0" borderId="0" xfId="0" applyFont="1" applyBorder="1" applyAlignment="1">
      <alignment vertical="center"/>
    </xf>
    <xf numFmtId="44" fontId="6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44" fontId="6" fillId="0" borderId="0" xfId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44" fontId="10" fillId="0" borderId="0" xfId="1" applyFont="1" applyFill="1" applyBorder="1" applyAlignment="1">
      <alignment vertical="center"/>
    </xf>
    <xf numFmtId="44" fontId="0" fillId="0" borderId="0" xfId="1" applyFont="1"/>
    <xf numFmtId="44" fontId="0" fillId="0" borderId="0" xfId="1" applyFont="1" applyBorder="1"/>
    <xf numFmtId="2" fontId="0" fillId="0" borderId="0" xfId="0" applyNumberFormat="1" applyBorder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0" fontId="0" fillId="0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/>
    <xf numFmtId="0" fontId="0" fillId="0" borderId="10" xfId="0" pivotButton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left"/>
    </xf>
    <xf numFmtId="2" fontId="0" fillId="0" borderId="14" xfId="0" applyNumberFormat="1" applyBorder="1"/>
    <xf numFmtId="0" fontId="0" fillId="0" borderId="13" xfId="0" applyBorder="1"/>
    <xf numFmtId="0" fontId="0" fillId="0" borderId="14" xfId="0" applyBorder="1"/>
    <xf numFmtId="0" fontId="0" fillId="0" borderId="13" xfId="0" pivotButton="1" applyBorder="1"/>
    <xf numFmtId="0" fontId="0" fillId="0" borderId="15" xfId="0" applyBorder="1"/>
    <xf numFmtId="10" fontId="0" fillId="0" borderId="1" xfId="2" applyNumberFormat="1" applyFont="1" applyBorder="1"/>
    <xf numFmtId="10" fontId="0" fillId="0" borderId="16" xfId="2" applyNumberFormat="1" applyFont="1" applyBorder="1"/>
    <xf numFmtId="0" fontId="0" fillId="0" borderId="0" xfId="0" applyBorder="1" applyAlignment="1">
      <alignment horizontal="center"/>
    </xf>
    <xf numFmtId="44" fontId="0" fillId="0" borderId="0" xfId="1" applyFont="1" applyFill="1"/>
    <xf numFmtId="166" fontId="0" fillId="0" borderId="0" xfId="2" applyNumberFormat="1" applyFont="1" applyBorder="1"/>
    <xf numFmtId="0" fontId="0" fillId="0" borderId="18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0" borderId="17" xfId="0" applyBorder="1"/>
    <xf numFmtId="0" fontId="0" fillId="3" borderId="17" xfId="0" applyFill="1" applyBorder="1"/>
    <xf numFmtId="0" fontId="0" fillId="4" borderId="17" xfId="0" applyFill="1" applyBorder="1"/>
    <xf numFmtId="166" fontId="0" fillId="3" borderId="17" xfId="2" applyNumberFormat="1" applyFont="1" applyFill="1" applyBorder="1"/>
    <xf numFmtId="166" fontId="0" fillId="4" borderId="17" xfId="2" applyNumberFormat="1" applyFont="1" applyFill="1" applyBorder="1"/>
    <xf numFmtId="10" fontId="0" fillId="0" borderId="0" xfId="2" applyNumberFormat="1" applyFont="1"/>
    <xf numFmtId="167" fontId="0" fillId="0" borderId="0" xfId="0" applyNumberFormat="1"/>
    <xf numFmtId="2" fontId="0" fillId="0" borderId="0" xfId="0" applyNumberFormat="1"/>
    <xf numFmtId="0" fontId="0" fillId="5" borderId="0" xfId="0" applyFill="1"/>
    <xf numFmtId="0" fontId="0" fillId="5" borderId="0" xfId="0" applyFill="1" applyAlignment="1">
      <alignment vertical="center"/>
    </xf>
    <xf numFmtId="0" fontId="0" fillId="5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4" fontId="10" fillId="0" borderId="0" xfId="1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5" borderId="25" xfId="0" applyFont="1" applyFill="1" applyBorder="1" applyAlignment="1">
      <alignment horizontal="center" vertical="center" wrapText="1"/>
    </xf>
    <xf numFmtId="0" fontId="14" fillId="5" borderId="24" xfId="0" applyFont="1" applyFill="1" applyBorder="1" applyAlignment="1">
      <alignment horizontal="center" vertical="center" wrapText="1"/>
    </xf>
    <xf numFmtId="0" fontId="14" fillId="5" borderId="26" xfId="0" applyFont="1" applyFill="1" applyBorder="1" applyAlignment="1">
      <alignment horizontal="center" vertical="center" wrapText="1"/>
    </xf>
    <xf numFmtId="0" fontId="14" fillId="5" borderId="27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center" vertical="center" wrapText="1"/>
    </xf>
    <xf numFmtId="0" fontId="14" fillId="5" borderId="28" xfId="0" applyFont="1" applyFill="1" applyBorder="1" applyAlignment="1">
      <alignment horizontal="center" vertical="center" wrapText="1"/>
    </xf>
    <xf numFmtId="0" fontId="14" fillId="5" borderId="29" xfId="0" applyFont="1" applyFill="1" applyBorder="1" applyAlignment="1">
      <alignment horizontal="center" vertical="center" wrapText="1"/>
    </xf>
    <xf numFmtId="0" fontId="14" fillId="5" borderId="30" xfId="0" applyFont="1" applyFill="1" applyBorder="1" applyAlignment="1">
      <alignment horizontal="center" vertical="center" wrapText="1"/>
    </xf>
    <xf numFmtId="0" fontId="14" fillId="5" borderId="31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8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164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numFmt numFmtId="2" formatCode="0.0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numFmt numFmtId="2" formatCode="0.0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numFmt numFmtId="2" formatCode="0.0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numFmt numFmtId="2" formatCode="0.0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numFmt numFmtId="2" formatCode="0.0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DF0D5"/>
      <color rgb="FF2B2C28"/>
      <color rgb="FF630000"/>
      <color rgb="FF003049"/>
      <color rgb="FF6D0000"/>
      <color rgb="FFC1121F"/>
      <color rgb="FF669BBC"/>
      <color rgb="FF8CB4CD"/>
      <color rgb="FF81ACC8"/>
      <color rgb="FF7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Nível de Instrução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2800" b="1" i="0" u="none" strike="noStrike" kern="1200" spc="100" baseline="0">
              <a:solidFill>
                <a:srgbClr val="FFFAFB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39989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2C-4B0F-9B40-0A8C9FA6C57A}"/>
              </c:ext>
            </c:extLst>
          </c:dPt>
          <c:dPt>
            <c:idx val="1"/>
            <c:bubble3D val="0"/>
            <c:spPr>
              <a:solidFill>
                <a:srgbClr val="7DE2D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2C-4B0F-9B40-0A8C9FA6C57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'Fonte Dashboards'!$F$9:$G$9</c:f>
              <c:strCache>
                <c:ptCount val="2"/>
                <c:pt idx="0">
                  <c:v>Nível Alto (2 Grau Completo ou Superior)</c:v>
                </c:pt>
                <c:pt idx="1">
                  <c:v>Nível Baixo (2 Grau Incompleto ou Inferior)</c:v>
                </c:pt>
              </c:strCache>
            </c:strRef>
          </c:cat>
          <c:val>
            <c:numRef>
              <c:f>'Fonte Dashboards'!$F$10:$G$10</c:f>
              <c:numCache>
                <c:formatCode>0.00%</c:formatCode>
                <c:ptCount val="2"/>
                <c:pt idx="0">
                  <c:v>0.43133333333333335</c:v>
                </c:pt>
                <c:pt idx="1">
                  <c:v>0.56866666666666676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2C-4B0F-9B40-0A8C9FA6C57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rgbClr val="FFFAFB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Acesso à rede de esgoto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2800" b="1" i="0" u="none" strike="noStrike" kern="1200" spc="100" baseline="0">
              <a:solidFill>
                <a:srgbClr val="FFFAFB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339989"/>
            </a:solidFill>
          </c:spPr>
          <c:dPt>
            <c:idx val="0"/>
            <c:bubble3D val="0"/>
            <c:spPr>
              <a:solidFill>
                <a:srgbClr val="339989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46-43A3-A620-AFBA7F83BB43}"/>
              </c:ext>
            </c:extLst>
          </c:dPt>
          <c:dPt>
            <c:idx val="1"/>
            <c:bubble3D val="0"/>
            <c:spPr>
              <a:solidFill>
                <a:srgbClr val="7DE2D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46-43A3-A620-AFBA7F83BB4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'Fonte Dashboards'!$F$24:$G$24</c:f>
              <c:strCache>
                <c:ptCount val="2"/>
                <c:pt idx="0">
                  <c:v>Acesso adequado a rede de esgoto</c:v>
                </c:pt>
                <c:pt idx="1">
                  <c:v>Acesso precário ou inadequado a rede de esgoto</c:v>
                </c:pt>
              </c:strCache>
            </c:strRef>
          </c:cat>
          <c:val>
            <c:numRef>
              <c:f>'Fonte Dashboards'!$F$25:$G$25</c:f>
              <c:numCache>
                <c:formatCode>0.00%</c:formatCode>
                <c:ptCount val="2"/>
                <c:pt idx="0">
                  <c:v>0.43000000000000005</c:v>
                </c:pt>
                <c:pt idx="1">
                  <c:v>0.55411111111111111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46-43A3-A620-AFBA7F83BB4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rgbClr val="FFFAFB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Abastecimento de água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2800" b="1" i="0" u="none" strike="noStrike" kern="1200" spc="100" baseline="0">
              <a:solidFill>
                <a:srgbClr val="FFFAFB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39989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E5-47D7-8210-A4404A2A507F}"/>
              </c:ext>
            </c:extLst>
          </c:dPt>
          <c:dPt>
            <c:idx val="1"/>
            <c:bubble3D val="0"/>
            <c:spPr>
              <a:solidFill>
                <a:srgbClr val="7DE2D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E5-47D7-8210-A4404A2A507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'Fonte Dashboards'!$F$35:$G$35</c:f>
              <c:strCache>
                <c:ptCount val="2"/>
                <c:pt idx="0">
                  <c:v>Abastecimento adequado de água</c:v>
                </c:pt>
                <c:pt idx="1">
                  <c:v>Abastecimento inadequado de água</c:v>
                </c:pt>
              </c:strCache>
            </c:strRef>
          </c:cat>
          <c:val>
            <c:numRef>
              <c:f>'Fonte Dashboards'!$F$36:$G$36</c:f>
              <c:numCache>
                <c:formatCode>0.00%</c:formatCode>
                <c:ptCount val="2"/>
                <c:pt idx="0">
                  <c:v>0.94188888888888878</c:v>
                </c:pt>
                <c:pt idx="1">
                  <c:v>5.8555555555555569E-2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E5-47D7-8210-A4404A2A50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AFB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800">
                <a:solidFill>
                  <a:srgbClr val="FFFAFB"/>
                </a:solidFill>
              </a:rPr>
              <a:t>Condição de moradia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8031091873764155"/>
          <c:y val="0.19699930639211577"/>
          <c:w val="0.8196890812623584"/>
          <c:h val="0.7880292619927196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9989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AFB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Dashboards'!$F$48:$H$48</c:f>
              <c:strCache>
                <c:ptCount val="3"/>
                <c:pt idx="0">
                  <c:v>Casa própria</c:v>
                </c:pt>
                <c:pt idx="1">
                  <c:v>Aluguel</c:v>
                </c:pt>
                <c:pt idx="2">
                  <c:v>Cedido por familiar, empregador ou outros</c:v>
                </c:pt>
              </c:strCache>
            </c:strRef>
          </c:cat>
          <c:val>
            <c:numRef>
              <c:f>'Fonte Dashboards'!$F$49:$H$49</c:f>
              <c:numCache>
                <c:formatCode>0.00%</c:formatCode>
                <c:ptCount val="3"/>
                <c:pt idx="0">
                  <c:v>0.74677777777777765</c:v>
                </c:pt>
                <c:pt idx="1">
                  <c:v>0.16622222222222222</c:v>
                </c:pt>
                <c:pt idx="2">
                  <c:v>8.7111111111111111E-2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5-4A59-BEE0-122D7F492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546974064"/>
        <c:axId val="546975312"/>
      </c:barChart>
      <c:catAx>
        <c:axId val="54697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1" i="0" u="none" strike="noStrike" kern="1200" baseline="0">
                <a:solidFill>
                  <a:srgbClr val="FFFAFB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6975312"/>
        <c:crosses val="autoZero"/>
        <c:auto val="1"/>
        <c:lblAlgn val="ctr"/>
        <c:lblOffset val="100"/>
        <c:noMultiLvlLbl val="0"/>
      </c:catAx>
      <c:valAx>
        <c:axId val="54697531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54697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800" b="1" i="0" u="none" strike="noStrike" kern="1200" spc="100" baseline="0">
                <a:solidFill>
                  <a:srgbClr val="FFFAFB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Bens em domicílio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2800" b="1" i="0" u="none" strike="noStrike" kern="1200" spc="100" baseline="0">
              <a:solidFill>
                <a:srgbClr val="FFFAFB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39989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AFB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Dashboards'!$F$61:$L$61</c:f>
              <c:strCache>
                <c:ptCount val="7"/>
                <c:pt idx="0">
                  <c:v>Telefone Fixo ou ao menos um celular</c:v>
                </c:pt>
                <c:pt idx="1">
                  <c:v>Geladeira</c:v>
                </c:pt>
                <c:pt idx="2">
                  <c:v>Máquina de lavar roupa</c:v>
                </c:pt>
                <c:pt idx="3">
                  <c:v>Automóvel</c:v>
                </c:pt>
                <c:pt idx="4">
                  <c:v>Motocicleta</c:v>
                </c:pt>
                <c:pt idx="5">
                  <c:v>Acesso à internet</c:v>
                </c:pt>
                <c:pt idx="6">
                  <c:v>Microcomputador</c:v>
                </c:pt>
              </c:strCache>
            </c:strRef>
          </c:cat>
          <c:val>
            <c:numRef>
              <c:f>'Fonte Dashboards'!$F$62:$L$62</c:f>
              <c:numCache>
                <c:formatCode>0.00%</c:formatCode>
                <c:ptCount val="7"/>
                <c:pt idx="0">
                  <c:v>0.96444444444444444</c:v>
                </c:pt>
                <c:pt idx="1">
                  <c:v>0.98366666666666669</c:v>
                </c:pt>
                <c:pt idx="2">
                  <c:v>0.42111111111111116</c:v>
                </c:pt>
                <c:pt idx="3">
                  <c:v>0.31977777777777777</c:v>
                </c:pt>
                <c:pt idx="4">
                  <c:v>0.38877777777777772</c:v>
                </c:pt>
                <c:pt idx="5">
                  <c:v>0.88855555555555554</c:v>
                </c:pt>
                <c:pt idx="6">
                  <c:v>0.27799999999999997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10-4EC6-A06C-4C1683821CB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65652672"/>
        <c:axId val="465653088"/>
      </c:barChart>
      <c:catAx>
        <c:axId val="46565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FAFB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653088"/>
        <c:crosses val="autoZero"/>
        <c:auto val="1"/>
        <c:lblAlgn val="ctr"/>
        <c:lblOffset val="100"/>
        <c:noMultiLvlLbl val="0"/>
      </c:catAx>
      <c:valAx>
        <c:axId val="4656530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6565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8CB4C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0D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Dashboards'!$B$118:$B$122</c:f>
              <c:strCache>
                <c:ptCount val="5"/>
                <c:pt idx="0">
                  <c:v>Distrito Federal</c:v>
                </c:pt>
                <c:pt idx="1">
                  <c:v>São Paulo</c:v>
                </c:pt>
                <c:pt idx="2">
                  <c:v>Rio de Janeiro</c:v>
                </c:pt>
                <c:pt idx="3">
                  <c:v>Rio Grande do Sul</c:v>
                </c:pt>
                <c:pt idx="4">
                  <c:v>Roraima</c:v>
                </c:pt>
              </c:strCache>
            </c:strRef>
          </c:cat>
          <c:val>
            <c:numRef>
              <c:f>'Fonte Dashboards'!$C$118:$C$122</c:f>
              <c:numCache>
                <c:formatCode>0.0%</c:formatCode>
                <c:ptCount val="5"/>
                <c:pt idx="0">
                  <c:v>0.98299999999999998</c:v>
                </c:pt>
                <c:pt idx="1">
                  <c:v>0.96500000000000008</c:v>
                </c:pt>
                <c:pt idx="2">
                  <c:v>0.94700000000000006</c:v>
                </c:pt>
                <c:pt idx="3">
                  <c:v>0.92399999999999993</c:v>
                </c:pt>
                <c:pt idx="4">
                  <c:v>0.91199999999999992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8-4BCF-A80A-A2799862F3E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99371343"/>
        <c:axId val="199368847"/>
      </c:barChart>
      <c:catAx>
        <c:axId val="19937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DF0D5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368847"/>
        <c:crosses val="autoZero"/>
        <c:auto val="1"/>
        <c:lblAlgn val="ctr"/>
        <c:lblOffset val="100"/>
        <c:noMultiLvlLbl val="0"/>
      </c:catAx>
      <c:valAx>
        <c:axId val="199368847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937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669BBC"/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1121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Dashboards'!$B$124:$B$128</c:f>
              <c:strCache>
                <c:ptCount val="5"/>
                <c:pt idx="0">
                  <c:v>Amapá</c:v>
                </c:pt>
                <c:pt idx="1">
                  <c:v>Tocantins</c:v>
                </c:pt>
                <c:pt idx="2">
                  <c:v>Amazonas</c:v>
                </c:pt>
                <c:pt idx="3">
                  <c:v>Pará</c:v>
                </c:pt>
                <c:pt idx="4">
                  <c:v>Sergipe</c:v>
                </c:pt>
              </c:strCache>
            </c:strRef>
          </c:cat>
          <c:val>
            <c:numRef>
              <c:f>'Fonte Dashboards'!$C$124:$C$128</c:f>
              <c:numCache>
                <c:formatCode>0.0%</c:formatCode>
                <c:ptCount val="5"/>
                <c:pt idx="0">
                  <c:v>0.51400000000000001</c:v>
                </c:pt>
                <c:pt idx="1">
                  <c:v>0.59099999999999997</c:v>
                </c:pt>
                <c:pt idx="2">
                  <c:v>0.60999999999999988</c:v>
                </c:pt>
                <c:pt idx="3">
                  <c:v>0.61299999999999999</c:v>
                </c:pt>
                <c:pt idx="4">
                  <c:v>0.61699999999999999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B-4830-BE6F-F4767D240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2277423"/>
        <c:axId val="192276175"/>
      </c:barChart>
      <c:catAx>
        <c:axId val="192277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DF0D5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276175"/>
        <c:crosses val="autoZero"/>
        <c:auto val="1"/>
        <c:lblAlgn val="ctr"/>
        <c:lblOffset val="100"/>
        <c:noMultiLvlLbl val="0"/>
      </c:catAx>
      <c:valAx>
        <c:axId val="192276175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2277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6D0000"/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8CB4C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0D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Dashboards'!$E$118:$E$122</c:f>
              <c:strCache>
                <c:ptCount val="5"/>
                <c:pt idx="0">
                  <c:v>Distrito Federal</c:v>
                </c:pt>
                <c:pt idx="1">
                  <c:v>São Paulo</c:v>
                </c:pt>
                <c:pt idx="2">
                  <c:v>Rio de Janeiro</c:v>
                </c:pt>
                <c:pt idx="3">
                  <c:v>Santa Catarina</c:v>
                </c:pt>
                <c:pt idx="4">
                  <c:v>Mato Grosso do Sul</c:v>
                </c:pt>
              </c:strCache>
            </c:strRef>
          </c:cat>
          <c:val>
            <c:numRef>
              <c:f>'Fonte Dashboards'!$F$118:$F$122</c:f>
              <c:numCache>
                <c:formatCode>_("R$"* #,##0.00_);_("R$"* \(#,##0.00\);_("R$"* "-"??_);_(@_)</c:formatCode>
                <c:ptCount val="5"/>
                <c:pt idx="0">
                  <c:v>4403</c:v>
                </c:pt>
                <c:pt idx="1">
                  <c:v>3254</c:v>
                </c:pt>
                <c:pt idx="2">
                  <c:v>3207</c:v>
                </c:pt>
                <c:pt idx="3">
                  <c:v>3030</c:v>
                </c:pt>
                <c:pt idx="4">
                  <c:v>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A6-427B-B196-DF4265295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192490799"/>
        <c:axId val="192488719"/>
      </c:barChart>
      <c:catAx>
        <c:axId val="19249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DF0D5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88719"/>
        <c:crosses val="autoZero"/>
        <c:auto val="1"/>
        <c:lblAlgn val="ctr"/>
        <c:lblOffset val="100"/>
        <c:noMultiLvlLbl val="0"/>
      </c:catAx>
      <c:valAx>
        <c:axId val="19248871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92490799"/>
        <c:crosses val="autoZero"/>
        <c:crossBetween val="between"/>
      </c:valAx>
      <c:spPr>
        <a:solidFill>
          <a:srgbClr val="669BBC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669BBC"/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1121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0D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'Fonte Dashboards'!$E$124:$E$128</c:f>
              <c:strCache>
                <c:ptCount val="5"/>
                <c:pt idx="0">
                  <c:v>Bahia</c:v>
                </c:pt>
                <c:pt idx="1">
                  <c:v>Maranhão</c:v>
                </c:pt>
                <c:pt idx="2">
                  <c:v>Alagoas</c:v>
                </c:pt>
                <c:pt idx="3">
                  <c:v>Ceará</c:v>
                </c:pt>
                <c:pt idx="4">
                  <c:v>Pernambuco</c:v>
                </c:pt>
              </c:strCache>
            </c:strRef>
          </c:cat>
          <c:val>
            <c:numRef>
              <c:f>'Fonte Dashboards'!$F$124:$F$128</c:f>
              <c:numCache>
                <c:formatCode>_("R$"* #,##0.00_);_("R$"* \(#,##0.00\);_("R$"* "-"??_);_(@_)</c:formatCode>
                <c:ptCount val="5"/>
                <c:pt idx="0">
                  <c:v>1662</c:v>
                </c:pt>
                <c:pt idx="1">
                  <c:v>1663</c:v>
                </c:pt>
                <c:pt idx="2">
                  <c:v>1780</c:v>
                </c:pt>
                <c:pt idx="3">
                  <c:v>1790</c:v>
                </c:pt>
                <c:pt idx="4">
                  <c:v>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7-4406-91EB-E2B136245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192828607"/>
        <c:axId val="192831519"/>
      </c:barChart>
      <c:catAx>
        <c:axId val="19282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DF0D5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31519"/>
        <c:crosses val="autoZero"/>
        <c:auto val="1"/>
        <c:lblAlgn val="ctr"/>
        <c:lblOffset val="100"/>
        <c:noMultiLvlLbl val="0"/>
      </c:catAx>
      <c:valAx>
        <c:axId val="19283151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92828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6D0000"/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95249</xdr:rowOff>
    </xdr:from>
    <xdr:to>
      <xdr:col>17</xdr:col>
      <xdr:colOff>323850</xdr:colOff>
      <xdr:row>34</xdr:row>
      <xdr:rowOff>104774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04800" y="95249"/>
          <a:ext cx="10382250" cy="6486525"/>
        </a:xfrm>
        <a:prstGeom prst="roundRect">
          <a:avLst/>
        </a:prstGeom>
        <a:solidFill>
          <a:srgbClr val="2B2C2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152400</xdr:rowOff>
        </xdr:from>
        <xdr:to>
          <xdr:col>7</xdr:col>
          <xdr:colOff>600075</xdr:colOff>
          <xdr:row>16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Perfil Socioeconômico das Regiões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152400</xdr:rowOff>
        </xdr:from>
        <xdr:to>
          <xdr:col>16</xdr:col>
          <xdr:colOff>609600</xdr:colOff>
          <xdr:row>16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Melhores e piores Indicadores por UF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171450</xdr:rowOff>
        </xdr:from>
        <xdr:to>
          <xdr:col>7</xdr:col>
          <xdr:colOff>600075</xdr:colOff>
          <xdr:row>29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Re-exibir Tabelas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20</xdr:row>
          <xdr:rowOff>171450</xdr:rowOff>
        </xdr:from>
        <xdr:to>
          <xdr:col>16</xdr:col>
          <xdr:colOff>609600</xdr:colOff>
          <xdr:row>29</xdr:row>
          <xdr:rowOff>9525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Ocultar Tabelas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600075</xdr:colOff>
      <xdr:row>1</xdr:row>
      <xdr:rowOff>114300</xdr:rowOff>
    </xdr:from>
    <xdr:to>
      <xdr:col>14</xdr:col>
      <xdr:colOff>590550</xdr:colOff>
      <xdr:row>6</xdr:row>
      <xdr:rowOff>66675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819275" y="304800"/>
          <a:ext cx="7305675" cy="904875"/>
        </a:xfrm>
        <a:prstGeom prst="rect">
          <a:avLst/>
        </a:prstGeom>
        <a:solidFill>
          <a:srgbClr val="2B2C28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 baseline="0">
              <a:solidFill>
                <a:srgbClr val="FDF0D5"/>
              </a:solidFill>
              <a:latin typeface="Segoe UI" panose="020B0502040204020203" pitchFamily="34" charset="0"/>
              <a:cs typeface="Segoe UI" panose="020B0502040204020203" pitchFamily="34" charset="0"/>
            </a:rPr>
            <a:t>O passo a passo e insights deste trabalho se encontram no arquivo README.txt desta pasta, o qual recomenda-se a leitura antes de realizar ações nesta planilha. </a:t>
          </a:r>
        </a:p>
        <a:p>
          <a:pPr algn="ctr"/>
          <a:r>
            <a:rPr lang="pt-BR" sz="1400" b="1" baseline="0">
              <a:solidFill>
                <a:srgbClr val="FDF0D5"/>
              </a:solidFill>
              <a:latin typeface="Segoe UI" panose="020B0502040204020203" pitchFamily="34" charset="0"/>
              <a:cs typeface="Segoe UI" panose="020B0502040204020203" pitchFamily="34" charset="0"/>
            </a:rPr>
            <a:t>Clique nos botões abaixo para iniciar a navegação.</a:t>
          </a:r>
          <a:endParaRPr lang="pt-BR" sz="1400" b="1">
            <a:solidFill>
              <a:srgbClr val="FDF0D5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10</xdr:row>
      <xdr:rowOff>0</xdr:rowOff>
    </xdr:from>
    <xdr:to>
      <xdr:col>104</xdr:col>
      <xdr:colOff>85725</xdr:colOff>
      <xdr:row>51</xdr:row>
      <xdr:rowOff>133350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7625" y="1428750"/>
          <a:ext cx="14897100" cy="5991225"/>
        </a:xfrm>
        <a:prstGeom prst="roundRect">
          <a:avLst>
            <a:gd name="adj" fmla="val 16154"/>
          </a:avLst>
        </a:prstGeom>
        <a:solidFill>
          <a:srgbClr val="1315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114300</xdr:colOff>
      <xdr:row>34</xdr:row>
      <xdr:rowOff>0</xdr:rowOff>
    </xdr:from>
    <xdr:to>
      <xdr:col>92</xdr:col>
      <xdr:colOff>9525</xdr:colOff>
      <xdr:row>36</xdr:row>
      <xdr:rowOff>123825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8829675" y="4857750"/>
          <a:ext cx="4324350" cy="409575"/>
        </a:xfrm>
        <a:prstGeom prst="roundRect">
          <a:avLst/>
        </a:prstGeom>
        <a:solidFill>
          <a:srgbClr val="2B2C28"/>
        </a:solidFill>
        <a:ln>
          <a:solidFill>
            <a:srgbClr val="2B2C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38100</xdr:colOff>
      <xdr:row>33</xdr:row>
      <xdr:rowOff>133350</xdr:rowOff>
    </xdr:from>
    <xdr:to>
      <xdr:col>42</xdr:col>
      <xdr:colOff>76200</xdr:colOff>
      <xdr:row>36</xdr:row>
      <xdr:rowOff>114300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752600" y="4848225"/>
          <a:ext cx="4324350" cy="409575"/>
        </a:xfrm>
        <a:prstGeom prst="roundRect">
          <a:avLst/>
        </a:prstGeom>
        <a:solidFill>
          <a:srgbClr val="2B2C28"/>
        </a:solidFill>
        <a:ln>
          <a:solidFill>
            <a:srgbClr val="2B2C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68</xdr:col>
      <xdr:colOff>85725</xdr:colOff>
      <xdr:row>10</xdr:row>
      <xdr:rowOff>133350</xdr:rowOff>
    </xdr:from>
    <xdr:to>
      <xdr:col>98</xdr:col>
      <xdr:colOff>123825</xdr:colOff>
      <xdr:row>13</xdr:row>
      <xdr:rowOff>114300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9801225" y="1562100"/>
          <a:ext cx="4324350" cy="409575"/>
        </a:xfrm>
        <a:prstGeom prst="roundRect">
          <a:avLst/>
        </a:prstGeom>
        <a:solidFill>
          <a:srgbClr val="2B2C28"/>
        </a:solidFill>
        <a:ln>
          <a:solidFill>
            <a:srgbClr val="2B2C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37</xdr:col>
      <xdr:colOff>95250</xdr:colOff>
      <xdr:row>10</xdr:row>
      <xdr:rowOff>133350</xdr:rowOff>
    </xdr:from>
    <xdr:to>
      <xdr:col>67</xdr:col>
      <xdr:colOff>133350</xdr:colOff>
      <xdr:row>13</xdr:row>
      <xdr:rowOff>114300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5381625" y="1562100"/>
          <a:ext cx="4324350" cy="409575"/>
        </a:xfrm>
        <a:prstGeom prst="roundRect">
          <a:avLst/>
        </a:prstGeom>
        <a:solidFill>
          <a:srgbClr val="2B2C28"/>
        </a:solidFill>
        <a:ln>
          <a:solidFill>
            <a:srgbClr val="2B2C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57150</xdr:colOff>
      <xdr:row>10</xdr:row>
      <xdr:rowOff>123825</xdr:rowOff>
    </xdr:from>
    <xdr:to>
      <xdr:col>36</xdr:col>
      <xdr:colOff>95250</xdr:colOff>
      <xdr:row>13</xdr:row>
      <xdr:rowOff>104775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14400" y="1552575"/>
          <a:ext cx="4324350" cy="409575"/>
        </a:xfrm>
        <a:prstGeom prst="roundRect">
          <a:avLst/>
        </a:prstGeom>
        <a:solidFill>
          <a:srgbClr val="2B2C28"/>
        </a:solidFill>
        <a:ln>
          <a:solidFill>
            <a:srgbClr val="2B2C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123822</xdr:colOff>
      <xdr:row>10</xdr:row>
      <xdr:rowOff>1</xdr:rowOff>
    </xdr:from>
    <xdr:to>
      <xdr:col>38</xdr:col>
      <xdr:colOff>134397</xdr:colOff>
      <xdr:row>31</xdr:row>
      <xdr:rowOff>142426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4985</xdr:colOff>
      <xdr:row>9</xdr:row>
      <xdr:rowOff>142799</xdr:rowOff>
    </xdr:from>
    <xdr:to>
      <xdr:col>70</xdr:col>
      <xdr:colOff>15560</xdr:colOff>
      <xdr:row>31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65</xdr:col>
      <xdr:colOff>133349</xdr:colOff>
      <xdr:row>10</xdr:row>
      <xdr:rowOff>0</xdr:rowOff>
    </xdr:from>
    <xdr:to>
      <xdr:col>101</xdr:col>
      <xdr:colOff>0</xdr:colOff>
      <xdr:row>32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133349</xdr:colOff>
      <xdr:row>32</xdr:row>
      <xdr:rowOff>142874</xdr:rowOff>
    </xdr:from>
    <xdr:to>
      <xdr:col>51</xdr:col>
      <xdr:colOff>0</xdr:colOff>
      <xdr:row>51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9525</xdr:colOff>
      <xdr:row>33</xdr:row>
      <xdr:rowOff>9526</xdr:rowOff>
    </xdr:from>
    <xdr:to>
      <xdr:col>101</xdr:col>
      <xdr:colOff>9525</xdr:colOff>
      <xdr:row>51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85725</xdr:colOff>
      <xdr:row>0</xdr:row>
      <xdr:rowOff>66675</xdr:rowOff>
    </xdr:from>
    <xdr:to>
      <xdr:col>104</xdr:col>
      <xdr:colOff>76200</xdr:colOff>
      <xdr:row>9</xdr:row>
      <xdr:rowOff>85725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85725" y="66675"/>
          <a:ext cx="14849475" cy="1304925"/>
        </a:xfrm>
        <a:prstGeom prst="roundRect">
          <a:avLst/>
        </a:prstGeom>
        <a:noFill/>
        <a:ln w="28575">
          <a:solidFill>
            <a:srgbClr val="3399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104</xdr:col>
          <xdr:colOff>133350</xdr:colOff>
          <xdr:row>0</xdr:row>
          <xdr:rowOff>47625</xdr:rowOff>
        </xdr:from>
        <xdr:to>
          <xdr:col>120</xdr:col>
          <xdr:colOff>114300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4</xdr:row>
      <xdr:rowOff>66675</xdr:rowOff>
    </xdr:from>
    <xdr:to>
      <xdr:col>44</xdr:col>
      <xdr:colOff>85725</xdr:colOff>
      <xdr:row>61</xdr:row>
      <xdr:rowOff>76200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66675" y="561975"/>
          <a:ext cx="6305550" cy="7067550"/>
        </a:xfrm>
        <a:prstGeom prst="roundRect">
          <a:avLst/>
        </a:prstGeom>
        <a:solidFill>
          <a:srgbClr val="003049"/>
        </a:solidFill>
        <a:ln>
          <a:solidFill>
            <a:srgbClr val="00304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47624</xdr:colOff>
      <xdr:row>4</xdr:row>
      <xdr:rowOff>66675</xdr:rowOff>
    </xdr:from>
    <xdr:to>
      <xdr:col>102</xdr:col>
      <xdr:colOff>76199</xdr:colOff>
      <xdr:row>61</xdr:row>
      <xdr:rowOff>76200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8334374" y="561975"/>
          <a:ext cx="6315075" cy="7067550"/>
        </a:xfrm>
        <a:prstGeom prst="roundRect">
          <a:avLst/>
        </a:prstGeom>
        <a:solidFill>
          <a:srgbClr val="630000"/>
        </a:solidFill>
        <a:ln>
          <a:solidFill>
            <a:srgbClr val="63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76200</xdr:colOff>
      <xdr:row>33</xdr:row>
      <xdr:rowOff>104775</xdr:rowOff>
    </xdr:from>
    <xdr:to>
      <xdr:col>38</xdr:col>
      <xdr:colOff>76200</xdr:colOff>
      <xdr:row>56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52387</xdr:colOff>
      <xdr:row>33</xdr:row>
      <xdr:rowOff>104775</xdr:rowOff>
    </xdr:from>
    <xdr:to>
      <xdr:col>96</xdr:col>
      <xdr:colOff>52387</xdr:colOff>
      <xdr:row>56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10</xdr:row>
      <xdr:rowOff>0</xdr:rowOff>
    </xdr:from>
    <xdr:to>
      <xdr:col>38</xdr:col>
      <xdr:colOff>76200</xdr:colOff>
      <xdr:row>32</xdr:row>
      <xdr:rowOff>19050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64</xdr:col>
      <xdr:colOff>52387</xdr:colOff>
      <xdr:row>10</xdr:row>
      <xdr:rowOff>0</xdr:rowOff>
    </xdr:from>
    <xdr:to>
      <xdr:col>96</xdr:col>
      <xdr:colOff>52387</xdr:colOff>
      <xdr:row>32</xdr:row>
      <xdr:rowOff>19050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76200</xdr:colOff>
      <xdr:row>6</xdr:row>
      <xdr:rowOff>66675</xdr:rowOff>
    </xdr:from>
    <xdr:to>
      <xdr:col>38</xdr:col>
      <xdr:colOff>76200</xdr:colOff>
      <xdr:row>8</xdr:row>
      <xdr:rowOff>66675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933450" y="809625"/>
          <a:ext cx="4572000" cy="247650"/>
        </a:xfrm>
        <a:prstGeom prst="rect">
          <a:avLst/>
        </a:prstGeom>
        <a:solidFill>
          <a:srgbClr val="00304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DF0D5"/>
              </a:solidFill>
              <a:latin typeface="Segoe UI" panose="020B0502040204020203" pitchFamily="34" charset="0"/>
              <a:cs typeface="Segoe UI" panose="020B0502040204020203" pitchFamily="34" charset="0"/>
            </a:rPr>
            <a:t>Melhores</a:t>
          </a:r>
        </a:p>
      </xdr:txBody>
    </xdr:sp>
    <xdr:clientData/>
  </xdr:twoCellAnchor>
  <xdr:twoCellAnchor>
    <xdr:from>
      <xdr:col>64</xdr:col>
      <xdr:colOff>38100</xdr:colOff>
      <xdr:row>6</xdr:row>
      <xdr:rowOff>85725</xdr:rowOff>
    </xdr:from>
    <xdr:to>
      <xdr:col>96</xdr:col>
      <xdr:colOff>38100</xdr:colOff>
      <xdr:row>8</xdr:row>
      <xdr:rowOff>85725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9182100" y="828675"/>
          <a:ext cx="4572000" cy="247650"/>
        </a:xfrm>
        <a:prstGeom prst="rect">
          <a:avLst/>
        </a:prstGeom>
        <a:solidFill>
          <a:srgbClr val="63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DF0D5"/>
              </a:solidFill>
              <a:latin typeface="Segoe UI" panose="020B0502040204020203" pitchFamily="34" charset="0"/>
              <a:cs typeface="Segoe UI" panose="020B0502040204020203" pitchFamily="34" charset="0"/>
            </a:rPr>
            <a:t>Piores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104</xdr:col>
          <xdr:colOff>133350</xdr:colOff>
          <xdr:row>0</xdr:row>
          <xdr:rowOff>57150</xdr:rowOff>
        </xdr:from>
        <xdr:to>
          <xdr:col>120</xdr:col>
          <xdr:colOff>114300</xdr:colOff>
          <xdr:row>12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A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Henrique Zanette" refreshedDate="45405.625921180559" createdVersion="7" refreshedVersion="7" minRefreshableVersion="3" recordCount="27" xr:uid="{86AE3774-C5AF-42BD-8501-6B67D8DBF9B8}">
  <cacheSource type="worksheet">
    <worksheetSource name="Nível_de_instrução"/>
  </cacheSource>
  <cacheFields count="9">
    <cacheField name="Região" numFmtId="0">
      <sharedItems count="5">
        <s v="Norte"/>
        <s v="Nordeste"/>
        <s v="Sudeste"/>
        <s v="Sul"/>
        <s v="Centro-Oeste"/>
      </sharedItems>
    </cacheField>
    <cacheField name="UF" numFmtId="0">
      <sharedItems count="27">
        <s v="Acre"/>
        <s v="Alagoas"/>
        <s v="Amapá"/>
        <s v="Amazonas"/>
        <s v="Bahia"/>
        <s v="Ceará"/>
        <s v="Espírito Santo"/>
        <s v="Rondônia"/>
        <s v="Maranhão"/>
        <s v="Roraima"/>
        <s v="Pará"/>
        <s v="Minas Gerais"/>
        <s v="Tocantins"/>
        <s v="Paraíba"/>
        <s v="Pernambuco"/>
        <s v="Piauí"/>
        <s v="Rio Grande do Norte"/>
        <s v="Sergipe"/>
        <s v="Rio de Janeiro"/>
        <s v="São Paulo"/>
        <s v="Paraná"/>
        <s v="Santa Catarina"/>
        <s v="Rio Grande do Sul"/>
        <s v="Mato Grosso do Sul"/>
        <s v="Mato Grosso"/>
        <s v="Goiás"/>
        <s v="Distrito Federal"/>
      </sharedItems>
    </cacheField>
    <cacheField name="Sem instrução" numFmtId="0">
      <sharedItems containsSemiMixedTypes="0" containsString="0" containsNumber="1" minValue="2.3E-2" maxValue="0.13500000000000001" count="24">
        <n v="0.106"/>
        <n v="0.125"/>
        <n v="7.3999999999999996E-2"/>
        <n v="0.06"/>
        <n v="0.12"/>
        <n v="0.121"/>
        <n v="5.0999999999999997E-2"/>
        <n v="0.128"/>
        <n v="5.8999999999999997E-2"/>
        <n v="7.2999999999999995E-2"/>
        <n v="0.04"/>
        <n v="9.0999999999999998E-2"/>
        <n v="0.126"/>
        <n v="0.109"/>
        <n v="0.13500000000000001"/>
        <n v="8.6999999999999994E-2"/>
        <n v="9.9000000000000005E-2"/>
        <n v="3.4000000000000002E-2"/>
        <n v="2.9000000000000001E-2"/>
        <n v="4.8000000000000001E-2"/>
        <n v="0.03"/>
        <n v="2.3E-2"/>
        <n v="6.8000000000000005E-2"/>
        <n v="2.4E-2"/>
      </sharedItems>
    </cacheField>
    <cacheField name="Ensino fundamental incompleto" numFmtId="0">
      <sharedItems containsSemiMixedTypes="0" containsString="0" containsNumber="1" minValue="0.16800000000000001" maxValue="0.36699999999999999" count="24">
        <n v="0.27400000000000002"/>
        <n v="0.35199999999999998"/>
        <n v="0.21099999999999999"/>
        <n v="0.248"/>
        <n v="0.311"/>
        <n v="0.30299999999999999"/>
        <n v="0.29199999999999998"/>
        <n v="0.33900000000000002"/>
        <n v="0.314"/>
        <n v="0.2"/>
        <n v="0.34899999999999998"/>
        <n v="0.34200000000000003"/>
        <n v="0.28299999999999997"/>
        <n v="0.36699999999999999"/>
        <n v="0.312"/>
        <n v="0.35299999999999998"/>
        <n v="0.32600000000000001"/>
        <n v="0.20300000000000001"/>
        <n v="0.219"/>
        <n v="0.29499999999999998"/>
        <n v="0.27700000000000002"/>
        <n v="0.28799999999999998"/>
        <n v="0.28499999999999998"/>
        <n v="0.16800000000000001"/>
      </sharedItems>
    </cacheField>
    <cacheField name="Ensino fundamental completo" numFmtId="0">
      <sharedItems containsSemiMixedTypes="0" containsString="0" containsNumber="1" minValue="5.0999999999999997E-2" maxValue="0.11" count="20">
        <n v="0.06"/>
        <n v="6.5000000000000002E-2"/>
        <n v="6.2E-2"/>
        <n v="6.7000000000000004E-2"/>
        <n v="5.3999999999999999E-2"/>
        <n v="8.1000000000000003E-2"/>
        <n v="8.3000000000000004E-2"/>
        <n v="7.0000000000000007E-2"/>
        <n v="7.6999999999999999E-2"/>
        <n v="5.0999999999999997E-2"/>
        <n v="6.9000000000000006E-2"/>
        <n v="6.3E-2"/>
        <n v="8.5999999999999993E-2"/>
        <n v="0.08"/>
        <n v="9.0999999999999998E-2"/>
        <n v="0.11"/>
        <n v="9.9000000000000005E-2"/>
        <n v="7.5999999999999998E-2"/>
        <n v="7.2999999999999995E-2"/>
        <n v="5.5E-2"/>
      </sharedItems>
    </cacheField>
    <cacheField name="Ensino médio incompleto" numFmtId="0">
      <sharedItems containsSemiMixedTypes="0" containsString="0" containsNumber="1" minValue="0.04" maxValue="7.0000000000000007E-2" count="17">
        <n v="5.1999999999999998E-2"/>
        <n v="5.2999999999999999E-2"/>
        <n v="4.8000000000000001E-2"/>
        <n v="4.7E-2"/>
        <n v="5.8000000000000003E-2"/>
        <n v="0.05"/>
        <n v="6.5000000000000002E-2"/>
        <n v="5.0999999999999997E-2"/>
        <n v="4.3999999999999997E-2"/>
        <n v="6.3E-2"/>
        <n v="4.5999999999999999E-2"/>
        <n v="4.9000000000000002E-2"/>
        <n v="4.4999999999999998E-2"/>
        <n v="5.3999999999999999E-2"/>
        <n v="7.0000000000000007E-2"/>
        <n v="6.0999999999999999E-2"/>
        <n v="0.04"/>
      </sharedItems>
    </cacheField>
    <cacheField name="Ensino médio completo" numFmtId="0">
      <sharedItems containsSemiMixedTypes="0" containsString="0" containsNumber="1" minValue="0.218" maxValue="0.379" count="24">
        <n v="0.26600000000000001"/>
        <n v="0.24"/>
        <n v="0.33100000000000002"/>
        <n v="0.36199999999999999"/>
        <n v="0.31"/>
        <n v="0.28100000000000003"/>
        <n v="0.29699999999999999"/>
        <n v="0.26500000000000001"/>
        <n v="0.28699999999999998"/>
        <n v="0.379"/>
        <n v="0.28000000000000003"/>
        <n v="0.24099999999999999"/>
        <n v="0.308"/>
        <n v="0.218"/>
        <n v="0.26900000000000002"/>
        <n v="0.26200000000000001"/>
        <n v="0.33200000000000002"/>
        <n v="0.33500000000000002"/>
        <n v="0.27700000000000002"/>
        <n v="0.25800000000000001"/>
        <n v="0.27300000000000002"/>
        <n v="0.28299999999999997"/>
        <n v="0.29099999999999998"/>
        <n v="0.28499999999999998"/>
      </sharedItems>
    </cacheField>
    <cacheField name="Ensino superior incompleto" numFmtId="0">
      <sharedItems containsSemiMixedTypes="0" containsString="0" containsNumber="1" minValue="2.5000000000000001E-2" maxValue="0.06" count="15">
        <n v="3.9E-2"/>
        <n v="3.5999999999999997E-2"/>
        <n v="5.7000000000000002E-2"/>
        <n v="0.05"/>
        <n v="2.8000000000000001E-2"/>
        <n v="3.4000000000000002E-2"/>
        <n v="3.3000000000000002E-2"/>
        <n v="2.7E-2"/>
        <n v="5.6000000000000001E-2"/>
        <n v="4.2999999999999997E-2"/>
        <n v="2.5000000000000001E-2"/>
        <n v="0.06"/>
        <n v="4.8000000000000001E-2"/>
        <n v="4.5999999999999999E-2"/>
        <n v="5.8000000000000003E-2"/>
      </sharedItems>
    </cacheField>
    <cacheField name="Ensino superior completo" numFmtId="0">
      <sharedItems containsSemiMixedTypes="0" containsString="0" containsNumber="1" minValue="0.114" maxValue="0.37" count="25">
        <n v="0.20300000000000001"/>
        <n v="0.129"/>
        <n v="0.217"/>
        <n v="0.16600000000000001"/>
        <n v="0.11899999999999999"/>
        <n v="0.127"/>
        <n v="0.185"/>
        <n v="0.16500000000000001"/>
        <n v="0.114"/>
        <n v="0.191"/>
        <n v="0.13"/>
        <n v="0.17399999999999999"/>
        <n v="0.19500000000000001"/>
        <n v="0.157"/>
        <n v="0.151"/>
        <n v="0.128"/>
        <n v="0.24199999999999999"/>
        <n v="0.25"/>
        <n v="0.20399999999999999"/>
        <n v="0.20799999999999999"/>
        <n v="0.19600000000000001"/>
        <n v="0.21199999999999999"/>
        <n v="0.17699999999999999"/>
        <n v="0.184"/>
        <n v="0.37"/>
      </sharedItems>
    </cacheField>
  </cacheFields>
  <extLst>
    <ext xmlns:x14="http://schemas.microsoft.com/office/spreadsheetml/2009/9/main" uri="{725AE2AE-9491-48be-B2B4-4EB974FC3084}">
      <x14:pivotCacheDefinition pivotCacheId="129320322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Henrique Zanette" refreshedDate="45406.479246064817" createdVersion="7" refreshedVersion="7" minRefreshableVersion="3" recordCount="27" xr:uid="{5199220E-610A-4B56-ADC8-32832F929281}">
  <cacheSource type="worksheet">
    <worksheetSource name="Acesso_a_esgoto"/>
  </cacheSource>
  <cacheFields count="10">
    <cacheField name="Região" numFmtId="0">
      <sharedItems count="5">
        <s v="Norte"/>
        <s v="Nordeste"/>
        <s v="Sudeste"/>
        <s v="Sul"/>
        <s v="Centro-Oeste"/>
      </sharedItems>
    </cacheField>
    <cacheField name="UF" numFmtId="0">
      <sharedItems/>
    </cacheField>
    <cacheField name="Rede Geral ou Pluvial" numFmtId="0">
      <sharedItems containsSemiMixedTypes="0" containsString="0" containsNumber="1" minValue="9.8000000000000004E-2" maxValue="0.90600000000000003"/>
    </cacheField>
    <cacheField name="Fossa séptica ligada à rede" numFmtId="0">
      <sharedItems containsSemiMixedTypes="0" containsString="0" containsNumber="1" minValue="8.9999999999999993E-3" maxValue="0.249"/>
    </cacheField>
    <cacheField name="Fossa séptica não ligada à rede" numFmtId="0">
      <sharedItems containsSemiMixedTypes="0" containsString="0" containsNumber="1" minValue="3.2000000000000001E-2" maxValue="0.58499999999999996"/>
    </cacheField>
    <cacheField name="Fossa rudimentar" numFmtId="0">
      <sharedItems containsSemiMixedTypes="0" containsString="0" containsNumber="1" minValue="1.0999999999999999E-2" maxValue="0.39400000000000002"/>
    </cacheField>
    <cacheField name="Vala" numFmtId="0">
      <sharedItems containsSemiMixedTypes="0" containsString="0" containsNumber="1" minValue="0" maxValue="9.5000000000000001E-2"/>
    </cacheField>
    <cacheField name="Rio, lago ou mar" numFmtId="0">
      <sharedItems containsSemiMixedTypes="0" containsString="0" containsNumber="1" minValue="0" maxValue="7.4999999999999997E-2"/>
    </cacheField>
    <cacheField name="Outra forma" numFmtId="0">
      <sharedItems containsSemiMixedTypes="0" containsString="0" containsNumber="1" minValue="0" maxValue="8.0000000000000002E-3"/>
    </cacheField>
    <cacheField name="Sem banheiro ou sanitário" numFmtId="0">
      <sharedItems containsSemiMixedTypes="0" containsString="0" containsNumber="1" minValue="0" maxValue="6.600000000000000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Henrique Zanette" refreshedDate="45406.677497569442" createdVersion="7" refreshedVersion="7" minRefreshableVersion="3" recordCount="29" xr:uid="{7C34620D-F48C-40F0-B3EF-F7FF84EAF22C}">
  <cacheSource type="worksheet">
    <worksheetSource name="Acesso_ao_abastecimento_de_água"/>
  </cacheSource>
  <cacheFields count="8">
    <cacheField name="Região" numFmtId="0">
      <sharedItems count="5">
        <s v="Norte"/>
        <s v="Nordeste"/>
        <s v="Sudeste"/>
        <s v="Sul"/>
        <s v="Centro-Oeste"/>
      </sharedItems>
    </cacheField>
    <cacheField name="UF" numFmtId="0">
      <sharedItems/>
    </cacheField>
    <cacheField name="Rede geral de distribuição" numFmtId="0">
      <sharedItems containsSemiMixedTypes="0" containsString="0" containsNumber="1" minValue="0.47399999999999998" maxValue="0.99299999999999999"/>
    </cacheField>
    <cacheField name="Poço profundo ou artesiano" numFmtId="0">
      <sharedItems containsSemiMixedTypes="0" containsString="0" containsNumber="1" minValue="6.0000000000000001E-3" maxValue="0.32300000000000001"/>
    </cacheField>
    <cacheField name="Poço raso, freático ou cacimba" numFmtId="0">
      <sharedItems containsSemiMixedTypes="0" containsString="0" containsNumber="1" minValue="0" maxValue="0.25"/>
    </cacheField>
    <cacheField name="Fonte ou nascente" numFmtId="0">
      <sharedItems containsSemiMixedTypes="0" containsString="0" containsNumber="1" minValue="0" maxValue="5.8999999999999997E-2"/>
    </cacheField>
    <cacheField name="Água da chuva armazenada" numFmtId="0">
      <sharedItems containsSemiMixedTypes="0" containsString="0" containsNumber="1" minValue="0" maxValue="8.5000000000000006E-2"/>
    </cacheField>
    <cacheField name="Outra forma" numFmtId="0">
      <sharedItems containsSemiMixedTypes="0" containsString="0" containsNumber="1" minValue="0" maxValue="6.600000000000000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Henrique Zanette" refreshedDate="45406.682746527775" createdVersion="7" refreshedVersion="7" minRefreshableVersion="3" recordCount="27" xr:uid="{31FC000A-9B58-47C8-91E6-4C697E2C78B8}">
  <cacheSource type="worksheet">
    <worksheetSource name="Condição_de_moradia"/>
  </cacheSource>
  <cacheFields count="9">
    <cacheField name="Região" numFmtId="0">
      <sharedItems count="5">
        <s v="Norte"/>
        <s v="Nordeste"/>
        <s v="Sudeste"/>
        <s v="Sul"/>
        <s v="Centro-Oeste"/>
      </sharedItems>
    </cacheField>
    <cacheField name="UF" numFmtId="0">
      <sharedItems count="27">
        <s v="Acre"/>
        <s v="Amapá"/>
        <s v="Amazonas"/>
        <s v="Rondônia"/>
        <s v="Maranhão"/>
        <s v="Pará"/>
        <s v="Roraima"/>
        <s v="Tocantins"/>
        <s v="Piauí"/>
        <s v="Ceará"/>
        <s v="Rio Grande do Norte"/>
        <s v="Paraíba"/>
        <s v="Pernambuco"/>
        <s v="Alagoas"/>
        <s v="Sergipe"/>
        <s v="Bahia"/>
        <s v="Minas Gerais"/>
        <s v="Espírito Santo"/>
        <s v="Rio de Janeiro"/>
        <s v="São Paulo"/>
        <s v="Paraná"/>
        <s v="Santa Catarina"/>
        <s v="Rio Grande do Sul"/>
        <s v="Mato Grosso do Sul"/>
        <s v="Mato Grosso"/>
        <s v="Goiás"/>
        <s v="Distrito Federal"/>
      </sharedItems>
    </cacheField>
    <cacheField name="Próprio - Já pago" numFmtId="0">
      <sharedItems containsSemiMixedTypes="0" containsString="0" containsNumber="1" minValue="0.47899999999999998" maxValue="0.82599999999999996"/>
    </cacheField>
    <cacheField name="Próprio - Pagando" numFmtId="0">
      <sharedItems containsSemiMixedTypes="0" containsString="0" containsNumber="1" minValue="6.0000000000000001E-3" maxValue="0.126"/>
    </cacheField>
    <cacheField name="Alugado" numFmtId="0">
      <sharedItems containsSemiMixedTypes="0" containsString="0" containsNumber="1" minValue="9.1999999999999998E-2" maxValue="0.33100000000000002"/>
    </cacheField>
    <cacheField name="Cedido por empregador" numFmtId="0">
      <sharedItems containsSemiMixedTypes="0" containsString="0" containsNumber="1" minValue="3.0000000000000001E-3" maxValue="4.2000000000000003E-2"/>
    </cacheField>
    <cacheField name="Cedido por familiar" numFmtId="0">
      <sharedItems containsSemiMixedTypes="0" containsString="0" containsNumber="1" minValue="4.2999999999999997E-2" maxValue="8.6999999999999994E-2"/>
    </cacheField>
    <cacheField name="Cedido de outra forma" numFmtId="0">
      <sharedItems containsSemiMixedTypes="0" containsString="0" containsNumber="1" minValue="3.0000000000000001E-3" maxValue="2.1999999999999999E-2"/>
    </cacheField>
    <cacheField name="Outra forma" numFmtId="0">
      <sharedItems containsSemiMixedTypes="0" containsString="0" containsNumber="1" minValue="0" maxValue="6.0000000000000001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Henrique Zanette" refreshedDate="45406.695346296299" createdVersion="7" refreshedVersion="7" minRefreshableVersion="3" recordCount="27" xr:uid="{AABE3960-B289-4685-8E5E-F9A810648AFE}">
  <cacheSource type="worksheet">
    <worksheetSource name="Bens_em_domicílio"/>
  </cacheSource>
  <cacheFields count="9">
    <cacheField name="Região" numFmtId="0">
      <sharedItems count="5">
        <s v="Norte"/>
        <s v="Nordeste"/>
        <s v="Sudeste"/>
        <s v="Sul"/>
        <s v="Centro-Oeste"/>
      </sharedItems>
    </cacheField>
    <cacheField name="UF" numFmtId="0">
      <sharedItems/>
    </cacheField>
    <cacheField name="Telefone fixo ou ao menos um celular" numFmtId="0">
      <sharedItems containsSemiMixedTypes="0" containsString="0" containsNumber="1" minValue="0.94" maxValue="0.998"/>
    </cacheField>
    <cacheField name="Geladeira" numFmtId="0">
      <sharedItems containsSemiMixedTypes="0" containsString="0" containsNumber="1" minValue="0.92" maxValue="0.997"/>
    </cacheField>
    <cacheField name="Máquina de lavar roupa" numFmtId="0">
      <sharedItems containsSemiMixedTypes="0" containsString="0" containsNumber="1" minValue="0.34300000000000003" maxValue="0.95699999999999996"/>
    </cacheField>
    <cacheField name="Automóvel" numFmtId="0">
      <sharedItems containsSemiMixedTypes="0" containsString="0" containsNumber="1" minValue="0.22600000000000001" maxValue="0.79"/>
    </cacheField>
    <cacheField name="Motocicleta" numFmtId="0">
      <sharedItems containsSemiMixedTypes="0" containsString="0" containsNumber="1" minValue="0.113" maxValue="0.57999999999999996"/>
    </cacheField>
    <cacheField name="Acesso à internet" numFmtId="0">
      <sharedItems containsSemiMixedTypes="0" containsString="0" containsNumber="1" minValue="0.79300000000000004" maxValue="0.97599999999999998"/>
    </cacheField>
    <cacheField name="Microcomputador" numFmtId="0">
      <sharedItems containsSemiMixedTypes="0" containsString="0" containsNumber="1" minValue="0.20799999999999999" maxValue="0.67400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</r>
  <r>
    <x v="0"/>
    <x v="2"/>
    <x v="2"/>
    <x v="2"/>
    <x v="2"/>
    <x v="2"/>
    <x v="2"/>
    <x v="2"/>
    <x v="2"/>
  </r>
  <r>
    <x v="0"/>
    <x v="3"/>
    <x v="3"/>
    <x v="3"/>
    <x v="3"/>
    <x v="3"/>
    <x v="3"/>
    <x v="3"/>
    <x v="3"/>
  </r>
  <r>
    <x v="1"/>
    <x v="4"/>
    <x v="4"/>
    <x v="4"/>
    <x v="4"/>
    <x v="4"/>
    <x v="4"/>
    <x v="4"/>
    <x v="4"/>
  </r>
  <r>
    <x v="1"/>
    <x v="5"/>
    <x v="5"/>
    <x v="5"/>
    <x v="5"/>
    <x v="1"/>
    <x v="5"/>
    <x v="5"/>
    <x v="5"/>
  </r>
  <r>
    <x v="2"/>
    <x v="6"/>
    <x v="6"/>
    <x v="6"/>
    <x v="6"/>
    <x v="0"/>
    <x v="6"/>
    <x v="0"/>
    <x v="6"/>
  </r>
  <r>
    <x v="0"/>
    <x v="7"/>
    <x v="2"/>
    <x v="7"/>
    <x v="7"/>
    <x v="1"/>
    <x v="7"/>
    <x v="6"/>
    <x v="7"/>
  </r>
  <r>
    <x v="1"/>
    <x v="8"/>
    <x v="7"/>
    <x v="8"/>
    <x v="8"/>
    <x v="1"/>
    <x v="8"/>
    <x v="7"/>
    <x v="8"/>
  </r>
  <r>
    <x v="0"/>
    <x v="9"/>
    <x v="8"/>
    <x v="9"/>
    <x v="1"/>
    <x v="5"/>
    <x v="9"/>
    <x v="8"/>
    <x v="9"/>
  </r>
  <r>
    <x v="0"/>
    <x v="10"/>
    <x v="9"/>
    <x v="10"/>
    <x v="7"/>
    <x v="6"/>
    <x v="10"/>
    <x v="5"/>
    <x v="10"/>
  </r>
  <r>
    <x v="2"/>
    <x v="11"/>
    <x v="10"/>
    <x v="11"/>
    <x v="8"/>
    <x v="5"/>
    <x v="5"/>
    <x v="1"/>
    <x v="11"/>
  </r>
  <r>
    <x v="0"/>
    <x v="12"/>
    <x v="11"/>
    <x v="12"/>
    <x v="9"/>
    <x v="7"/>
    <x v="8"/>
    <x v="9"/>
    <x v="12"/>
  </r>
  <r>
    <x v="1"/>
    <x v="13"/>
    <x v="12"/>
    <x v="13"/>
    <x v="0"/>
    <x v="5"/>
    <x v="11"/>
    <x v="4"/>
    <x v="5"/>
  </r>
  <r>
    <x v="1"/>
    <x v="14"/>
    <x v="13"/>
    <x v="14"/>
    <x v="7"/>
    <x v="8"/>
    <x v="12"/>
    <x v="4"/>
    <x v="1"/>
  </r>
  <r>
    <x v="1"/>
    <x v="15"/>
    <x v="14"/>
    <x v="15"/>
    <x v="2"/>
    <x v="7"/>
    <x v="13"/>
    <x v="10"/>
    <x v="13"/>
  </r>
  <r>
    <x v="1"/>
    <x v="16"/>
    <x v="15"/>
    <x v="16"/>
    <x v="10"/>
    <x v="9"/>
    <x v="14"/>
    <x v="1"/>
    <x v="14"/>
  </r>
  <r>
    <x v="1"/>
    <x v="17"/>
    <x v="16"/>
    <x v="15"/>
    <x v="11"/>
    <x v="7"/>
    <x v="15"/>
    <x v="9"/>
    <x v="15"/>
  </r>
  <r>
    <x v="2"/>
    <x v="18"/>
    <x v="17"/>
    <x v="17"/>
    <x v="12"/>
    <x v="10"/>
    <x v="16"/>
    <x v="2"/>
    <x v="16"/>
  </r>
  <r>
    <x v="2"/>
    <x v="19"/>
    <x v="18"/>
    <x v="18"/>
    <x v="13"/>
    <x v="8"/>
    <x v="17"/>
    <x v="9"/>
    <x v="17"/>
  </r>
  <r>
    <x v="3"/>
    <x v="20"/>
    <x v="19"/>
    <x v="19"/>
    <x v="14"/>
    <x v="11"/>
    <x v="18"/>
    <x v="1"/>
    <x v="18"/>
  </r>
  <r>
    <x v="3"/>
    <x v="21"/>
    <x v="20"/>
    <x v="20"/>
    <x v="15"/>
    <x v="12"/>
    <x v="8"/>
    <x v="9"/>
    <x v="19"/>
  </r>
  <r>
    <x v="3"/>
    <x v="22"/>
    <x v="21"/>
    <x v="14"/>
    <x v="16"/>
    <x v="0"/>
    <x v="19"/>
    <x v="11"/>
    <x v="20"/>
  </r>
  <r>
    <x v="4"/>
    <x v="23"/>
    <x v="19"/>
    <x v="21"/>
    <x v="17"/>
    <x v="13"/>
    <x v="20"/>
    <x v="12"/>
    <x v="21"/>
  </r>
  <r>
    <x v="4"/>
    <x v="24"/>
    <x v="22"/>
    <x v="12"/>
    <x v="18"/>
    <x v="14"/>
    <x v="21"/>
    <x v="13"/>
    <x v="22"/>
  </r>
  <r>
    <x v="4"/>
    <x v="25"/>
    <x v="8"/>
    <x v="22"/>
    <x v="17"/>
    <x v="15"/>
    <x v="22"/>
    <x v="9"/>
    <x v="23"/>
  </r>
  <r>
    <x v="4"/>
    <x v="26"/>
    <x v="23"/>
    <x v="23"/>
    <x v="19"/>
    <x v="16"/>
    <x v="23"/>
    <x v="14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Rondônia"/>
    <n v="0.115"/>
    <n v="0.126"/>
    <n v="0.41199999999999998"/>
    <n v="0.34"/>
    <n v="4.0000000000000001E-3"/>
    <n v="2E-3"/>
    <n v="1E-3"/>
    <n v="1E-3"/>
  </r>
  <r>
    <x v="0"/>
    <s v="Acre"/>
    <n v="0.35699999999999998"/>
    <n v="7.8E-2"/>
    <n v="0.26300000000000001"/>
    <n v="0.13300000000000001"/>
    <n v="9.5000000000000001E-2"/>
    <n v="4.2999999999999997E-2"/>
    <n v="3.0000000000000001E-3"/>
    <n v="2.7E-2"/>
  </r>
  <r>
    <x v="0"/>
    <s v="Amapá"/>
    <n v="0.127"/>
    <n v="7.9000000000000001E-2"/>
    <n v="0.308"/>
    <n v="0.38400000000000001"/>
    <n v="2.4E-2"/>
    <n v="7.3999999999999996E-2"/>
    <n v="3.0000000000000001E-3"/>
    <n v="0"/>
  </r>
  <r>
    <x v="0"/>
    <s v="Amazonas"/>
    <n v="0.34399999999999997"/>
    <n v="9.2999999999999999E-2"/>
    <n v="0.17299999999999999"/>
    <n v="0.246"/>
    <n v="5.3999999999999999E-2"/>
    <n v="7.4999999999999997E-2"/>
    <n v="2E-3"/>
    <n v="1.2E-2"/>
  </r>
  <r>
    <x v="1"/>
    <s v="Ceará"/>
    <n v="0.44400000000000001"/>
    <n v="7.5999999999999998E-2"/>
    <n v="0.254"/>
    <n v="0.185"/>
    <n v="2.1000000000000001E-2"/>
    <n v="8.9999999999999993E-3"/>
    <n v="4.0000000000000001E-3"/>
    <n v="7.0000000000000001E-3"/>
  </r>
  <r>
    <x v="0"/>
    <s v="Roraima"/>
    <n v="0.47799999999999998"/>
    <n v="8.2000000000000003E-2"/>
    <n v="0.35199999999999998"/>
    <n v="7.9000000000000001E-2"/>
    <n v="5.0000000000000001E-3"/>
    <n v="2E-3"/>
    <n v="1E-3"/>
    <n v="1E-3"/>
  </r>
  <r>
    <x v="0"/>
    <s v="Pará"/>
    <n v="0.113"/>
    <n v="9.0999999999999998E-2"/>
    <n v="0.40899999999999997"/>
    <n v="0.307"/>
    <n v="4.5999999999999999E-2"/>
    <n v="2.5000000000000001E-2"/>
    <n v="2E-3"/>
    <n v="7.0000000000000001E-3"/>
  </r>
  <r>
    <x v="1"/>
    <s v="Maranhão"/>
    <n v="0.183"/>
    <n v="6.0999999999999999E-2"/>
    <n v="0.42"/>
    <n v="0.22800000000000001"/>
    <n v="5.7000000000000002E-2"/>
    <n v="8.9999999999999993E-3"/>
    <n v="8.0000000000000002E-3"/>
    <n v="3.5000000000000003E-2"/>
  </r>
  <r>
    <x v="0"/>
    <s v="Tocantins"/>
    <n v="0.33700000000000002"/>
    <n v="5.1999999999999998E-2"/>
    <n v="0.20200000000000001"/>
    <n v="0.39400000000000002"/>
    <n v="5.0000000000000001E-3"/>
    <n v="1E-3"/>
    <n v="4.0000000000000001E-3"/>
    <n v="5.0000000000000001E-3"/>
  </r>
  <r>
    <x v="1"/>
    <s v="Piauí"/>
    <n v="9.8000000000000004E-2"/>
    <n v="7.0000000000000007E-2"/>
    <n v="0.58499999999999996"/>
    <n v="0.159"/>
    <n v="1.6E-2"/>
    <n v="3.0000000000000001E-3"/>
    <n v="3.0000000000000001E-3"/>
    <n v="6.6000000000000003E-2"/>
  </r>
  <r>
    <x v="1"/>
    <s v="Rio Grande do Norte"/>
    <n v="0.26600000000000001"/>
    <n v="8.2000000000000003E-2"/>
    <n v="0.40699999999999997"/>
    <n v="0.21199999999999999"/>
    <n v="2.3E-2"/>
    <n v="4.0000000000000001E-3"/>
    <n v="4.0000000000000001E-3"/>
    <n v="2E-3"/>
  </r>
  <r>
    <x v="1"/>
    <s v="Paraíba"/>
    <n v="0.42399999999999999"/>
    <n v="5.6000000000000001E-2"/>
    <n v="0.28000000000000003"/>
    <n v="0.17899999999999999"/>
    <n v="4.7E-2"/>
    <n v="8.0000000000000002E-3"/>
    <n v="0"/>
    <n v="6.0000000000000001E-3"/>
  </r>
  <r>
    <x v="1"/>
    <s v="Pernambuco"/>
    <n v="0.56399999999999995"/>
    <n v="7.3999999999999996E-2"/>
    <n v="0.16700000000000001"/>
    <n v="0.13"/>
    <n v="0.04"/>
    <n v="1.4999999999999999E-2"/>
    <n v="6.0000000000000001E-3"/>
    <n v="4.0000000000000001E-3"/>
  </r>
  <r>
    <x v="1"/>
    <s v="Alagoas"/>
    <n v="0.27600000000000002"/>
    <n v="0.11799999999999999"/>
    <n v="0.25800000000000001"/>
    <n v="0.28899999999999998"/>
    <n v="2.9000000000000001E-2"/>
    <n v="1.7000000000000001E-2"/>
    <n v="6.0000000000000001E-3"/>
    <n v="8.0000000000000002E-3"/>
  </r>
  <r>
    <x v="1"/>
    <s v="Sergipe"/>
    <n v="0.443"/>
    <n v="6.4000000000000001E-2"/>
    <n v="0.11"/>
    <n v="0.32900000000000001"/>
    <n v="2.1999999999999999E-2"/>
    <n v="2.3E-2"/>
    <n v="3.0000000000000001E-3"/>
    <n v="6.0000000000000001E-3"/>
  </r>
  <r>
    <x v="1"/>
    <s v="Bahia"/>
    <n v="0.54200000000000004"/>
    <n v="2.9000000000000001E-2"/>
    <n v="0.16"/>
    <n v="0.222"/>
    <n v="1.9E-2"/>
    <n v="1.4E-2"/>
    <n v="3.0000000000000001E-3"/>
    <n v="1.0999999999999999E-2"/>
  </r>
  <r>
    <x v="2"/>
    <s v="Minas Gerais"/>
    <n v="0.79100000000000004"/>
    <n v="0.02"/>
    <n v="7.0999999999999994E-2"/>
    <n v="7.5999999999999998E-2"/>
    <n v="7.0000000000000001E-3"/>
    <n v="3.4000000000000002E-2"/>
    <n v="1E-3"/>
    <n v="2E-3"/>
  </r>
  <r>
    <x v="2"/>
    <s v="Espírito Santo"/>
    <n v="0.75"/>
    <n v="1.7000000000000001E-2"/>
    <n v="0.12"/>
    <n v="5.8999999999999997E-2"/>
    <n v="1.2999999999999999E-2"/>
    <n v="3.9E-2"/>
    <n v="1E-3"/>
    <n v="0"/>
  </r>
  <r>
    <x v="2"/>
    <s v="Rio de Janeiro"/>
    <n v="0.80600000000000005"/>
    <n v="7.6999999999999999E-2"/>
    <n v="6.4000000000000001E-2"/>
    <n v="1.0999999999999999E-2"/>
    <n v="0.02"/>
    <n v="0.02"/>
    <n v="3.0000000000000001E-3"/>
    <n v="0"/>
  </r>
  <r>
    <x v="2"/>
    <s v="São Paulo"/>
    <n v="0.90600000000000003"/>
    <n v="2.7E-2"/>
    <n v="3.2000000000000001E-2"/>
    <n v="1.4E-2"/>
    <n v="4.0000000000000001E-3"/>
    <n v="1.6E-2"/>
    <n v="1E-3"/>
    <n v="0"/>
  </r>
  <r>
    <x v="3"/>
    <s v="Paraná"/>
    <n v="0.69299999999999995"/>
    <n v="4.2000000000000003E-2"/>
    <n v="0.14899999999999999"/>
    <n v="0.108"/>
    <n v="1E-3"/>
    <n v="6.0000000000000001E-3"/>
    <n v="1E-3"/>
    <n v="0"/>
  </r>
  <r>
    <x v="3"/>
    <s v="Santa Catarina"/>
    <n v="0.35599999999999998"/>
    <n v="0.249"/>
    <n v="0.30199999999999999"/>
    <n v="7.9000000000000001E-2"/>
    <n v="5.0000000000000001E-3"/>
    <n v="8.9999999999999993E-3"/>
    <n v="1E-3"/>
    <n v="0"/>
  </r>
  <r>
    <x v="3"/>
    <s v="Rio Grande do Sul"/>
    <n v="0.51900000000000002"/>
    <n v="0.185"/>
    <n v="0.22"/>
    <n v="6.4000000000000001E-2"/>
    <n v="7.0000000000000001E-3"/>
    <n v="4.0000000000000001E-3"/>
    <n v="1E-3"/>
    <n v="0"/>
  </r>
  <r>
    <x v="4"/>
    <s v="Mato Grosso do Sul"/>
    <n v="0.48799999999999999"/>
    <n v="8.7999999999999995E-2"/>
    <n v="0.26300000000000001"/>
    <n v="0.16200000000000001"/>
    <n v="0"/>
    <n v="0"/>
    <n v="0"/>
    <n v="0"/>
  </r>
  <r>
    <x v="4"/>
    <s v="Mato Grosso"/>
    <n v="0.28999999999999998"/>
    <n v="8.2000000000000003E-2"/>
    <n v="0.48599999999999999"/>
    <n v="0.13700000000000001"/>
    <n v="1E-3"/>
    <n v="5.0000000000000001E-3"/>
    <n v="0"/>
    <n v="0"/>
  </r>
  <r>
    <x v="4"/>
    <s v="Goiás"/>
    <n v="0.56299999999999994"/>
    <n v="4.4999999999999998E-2"/>
    <n v="0.19400000000000001"/>
    <n v="0.19600000000000001"/>
    <n v="2E-3"/>
    <n v="0"/>
    <n v="0"/>
    <n v="0"/>
  </r>
  <r>
    <x v="4"/>
    <s v="Distrito Federal"/>
    <n v="0.88300000000000001"/>
    <n v="8.9999999999999993E-3"/>
    <n v="9.0999999999999998E-2"/>
    <n v="1.4999999999999999E-2"/>
    <n v="1E-3"/>
    <n v="0"/>
    <n v="1E-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s v="Acre"/>
    <n v="0.57199999999999995"/>
    <n v="0.17100000000000001"/>
    <n v="0.17299999999999999"/>
    <n v="0.05"/>
    <n v="6.0000000000000001E-3"/>
    <n v="2.8000000000000001E-2"/>
  </r>
  <r>
    <x v="0"/>
    <s v="Amapá"/>
    <n v="0.502"/>
    <n v="0.32300000000000001"/>
    <n v="0.14000000000000001"/>
    <n v="6.0000000000000001E-3"/>
    <n v="0"/>
    <n v="2.9000000000000001E-2"/>
  </r>
  <r>
    <x v="0"/>
    <s v="Amazonas"/>
    <n v="0.73499999999999999"/>
    <n v="0.13700000000000001"/>
    <n v="2.9000000000000001E-2"/>
    <n v="3.2000000000000001E-2"/>
    <n v="1.4999999999999999E-2"/>
    <n v="5.0999999999999997E-2"/>
  </r>
  <r>
    <x v="0"/>
    <s v="Rondônia"/>
    <n v="0.47399999999999998"/>
    <n v="0.251"/>
    <n v="0.25"/>
    <n v="2.3E-2"/>
    <n v="0"/>
    <n v="1E-3"/>
  </r>
  <r>
    <x v="1"/>
    <s v="Maranhão"/>
    <n v="0.74099999999999999"/>
    <n v="0.17299999999999999"/>
    <n v="6.7000000000000004E-2"/>
    <n v="0.01"/>
    <n v="1E-3"/>
    <n v="8.9999999999999993E-3"/>
  </r>
  <r>
    <x v="0"/>
    <s v="Pará"/>
    <n v="0.497"/>
    <n v="0.307"/>
    <n v="0.123"/>
    <n v="2.9000000000000001E-2"/>
    <n v="1E-3"/>
    <n v="4.2999999999999997E-2"/>
  </r>
  <r>
    <x v="0"/>
    <s v="Roraima"/>
    <n v="0.873"/>
    <n v="0.06"/>
    <n v="6.5000000000000002E-2"/>
    <n v="1E-3"/>
    <n v="0"/>
    <n v="1E-3"/>
  </r>
  <r>
    <x v="0"/>
    <s v="Tocantins"/>
    <n v="0.85199999999999998"/>
    <n v="7.4999999999999997E-2"/>
    <n v="4.8000000000000001E-2"/>
    <n v="2.1999999999999999E-2"/>
    <n v="0"/>
    <n v="3.0000000000000001E-3"/>
  </r>
  <r>
    <x v="1"/>
    <s v="Piauí"/>
    <n v="0.80700000000000005"/>
    <n v="0.11899999999999999"/>
    <n v="2.1999999999999999E-2"/>
    <n v="8.0000000000000002E-3"/>
    <n v="0.02"/>
    <n v="2.4E-2"/>
  </r>
  <r>
    <x v="1"/>
    <s v="Ceará"/>
    <n v="0.82199999999999995"/>
    <n v="9.6000000000000002E-2"/>
    <n v="4.4999999999999998E-2"/>
    <n v="7.0000000000000001E-3"/>
    <n v="1.2999999999999999E-2"/>
    <n v="1.7000000000000001E-2"/>
  </r>
  <r>
    <x v="1"/>
    <s v="Rio Grande do Norte"/>
    <n v="0.89400000000000002"/>
    <n v="3.7999999999999999E-2"/>
    <n v="2.1999999999999999E-2"/>
    <n v="4.0000000000000001E-3"/>
    <n v="5.0000000000000001E-3"/>
    <n v="3.6999999999999998E-2"/>
  </r>
  <r>
    <x v="1"/>
    <s v="Paraíba"/>
    <n v="0.71"/>
    <n v="0.10100000000000001"/>
    <n v="3.1E-2"/>
    <n v="8.0000000000000002E-3"/>
    <n v="8.5000000000000006E-2"/>
    <n v="6.6000000000000003E-2"/>
  </r>
  <r>
    <x v="1"/>
    <s v="Pernambuco"/>
    <n v="0.75800000000000001"/>
    <n v="0.11"/>
    <n v="3.7999999999999999E-2"/>
    <n v="8.0000000000000002E-3"/>
    <n v="2.5999999999999999E-2"/>
    <n v="0.06"/>
  </r>
  <r>
    <x v="1"/>
    <s v="Alagoas"/>
    <n v="0.72499999999999998"/>
    <n v="0.128"/>
    <n v="6.2E-2"/>
    <n v="7.0000000000000001E-3"/>
    <n v="3.2000000000000001E-2"/>
    <n v="4.7E-2"/>
  </r>
  <r>
    <x v="1"/>
    <s v="Sergipe"/>
    <n v="0.874"/>
    <n v="4.1000000000000002E-2"/>
    <n v="4.2999999999999997E-2"/>
    <n v="4.0000000000000001E-3"/>
    <n v="6.0000000000000001E-3"/>
    <n v="3.3000000000000002E-2"/>
  </r>
  <r>
    <x v="1"/>
    <s v="Bahia"/>
    <n v="0.83499999999999996"/>
    <n v="6.7000000000000004E-2"/>
    <n v="2.8000000000000001E-2"/>
    <n v="2.4E-2"/>
    <n v="2.3E-2"/>
    <n v="2.3E-2"/>
  </r>
  <r>
    <x v="2"/>
    <s v="Minas Gerais"/>
    <n v="0.86799999999999999"/>
    <n v="4.9000000000000002E-2"/>
    <n v="2.1000000000000001E-2"/>
    <n v="5.8999999999999997E-2"/>
    <n v="1E-3"/>
    <n v="3.0000000000000001E-3"/>
  </r>
  <r>
    <x v="2"/>
    <s v="Espírito Santo"/>
    <n v="0.84799999999999998"/>
    <n v="7.9000000000000001E-2"/>
    <n v="2.3E-2"/>
    <n v="4.9000000000000002E-2"/>
    <n v="0"/>
    <n v="1E-3"/>
  </r>
  <r>
    <x v="2"/>
    <s v="Rio de Janeiro"/>
    <n v="0.87"/>
    <n v="9.7000000000000003E-2"/>
    <n v="1.0999999999999999E-2"/>
    <n v="1.2999999999999999E-2"/>
    <n v="0"/>
    <n v="8.9999999999999993E-3"/>
  </r>
  <r>
    <x v="2"/>
    <s v="Rio de Janeiro"/>
    <n v="0.98699999999999999"/>
    <n v="8.0000000000000002E-3"/>
    <n v="0"/>
    <n v="2E-3"/>
    <n v="0"/>
    <n v="4.0000000000000001E-3"/>
  </r>
  <r>
    <x v="2"/>
    <s v="São Paulo"/>
    <n v="0.96"/>
    <n v="2.1999999999999999E-2"/>
    <n v="8.0000000000000002E-3"/>
    <n v="8.9999999999999993E-3"/>
    <n v="0"/>
    <n v="1E-3"/>
  </r>
  <r>
    <x v="2"/>
    <s v="São Paulo"/>
    <n v="0.99299999999999999"/>
    <n v="6.0000000000000001E-3"/>
    <n v="0"/>
    <n v="0"/>
    <n v="0"/>
    <n v="0"/>
  </r>
  <r>
    <x v="3"/>
    <s v="Paraná"/>
    <n v="0.89400000000000002"/>
    <n v="5.1999999999999998E-2"/>
    <n v="1.6E-2"/>
    <n v="3.6999999999999998E-2"/>
    <n v="0"/>
    <n v="1E-3"/>
  </r>
  <r>
    <x v="3"/>
    <s v="Santa Catarina"/>
    <n v="0.83"/>
    <n v="8.5999999999999993E-2"/>
    <n v="2.9000000000000001E-2"/>
    <n v="5.3999999999999999E-2"/>
    <n v="0"/>
    <n v="1E-3"/>
  </r>
  <r>
    <x v="3"/>
    <s v="Rio Grande do Sul"/>
    <n v="0.88100000000000001"/>
    <n v="8.5000000000000006E-2"/>
    <n v="1.9E-2"/>
    <n v="1.4E-2"/>
    <n v="0"/>
    <n v="1E-3"/>
  </r>
  <r>
    <x v="4"/>
    <s v="Mato Grosso do Sul"/>
    <n v="0.89400000000000002"/>
    <n v="9.0999999999999998E-2"/>
    <n v="8.0000000000000002E-3"/>
    <n v="5.0000000000000001E-3"/>
    <n v="0"/>
    <n v="2E-3"/>
  </r>
  <r>
    <x v="4"/>
    <s v="Mato Grosso"/>
    <n v="0.83399999999999996"/>
    <n v="0.11600000000000001"/>
    <n v="3.4000000000000002E-2"/>
    <n v="1.2999999999999999E-2"/>
    <n v="0"/>
    <n v="3.0000000000000001E-3"/>
  </r>
  <r>
    <x v="4"/>
    <s v="Goiás"/>
    <n v="0.879"/>
    <n v="7.2999999999999995E-2"/>
    <n v="3.6999999999999998E-2"/>
    <n v="8.9999999999999993E-3"/>
    <n v="0"/>
    <n v="1E-3"/>
  </r>
  <r>
    <x v="4"/>
    <s v="Distrito Federal"/>
    <n v="0.95399999999999996"/>
    <n v="0.03"/>
    <n v="1.0999999999999999E-2"/>
    <n v="4.0000000000000001E-3"/>
    <n v="0"/>
    <n v="1E-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0.79700000000000004"/>
    <n v="6.0000000000000001E-3"/>
    <n v="0.125"/>
    <n v="1.6E-2"/>
    <n v="4.8000000000000001E-2"/>
    <n v="8.9999999999999993E-3"/>
    <n v="0"/>
  </r>
  <r>
    <x v="0"/>
    <x v="1"/>
    <n v="0.82599999999999996"/>
    <n v="7.0000000000000001E-3"/>
    <n v="0.10299999999999999"/>
    <n v="3.0000000000000001E-3"/>
    <n v="4.9000000000000002E-2"/>
    <n v="8.0000000000000002E-3"/>
    <n v="4.0000000000000001E-3"/>
  </r>
  <r>
    <x v="0"/>
    <x v="2"/>
    <n v="0.77800000000000002"/>
    <n v="2.8000000000000001E-2"/>
    <n v="0.129"/>
    <n v="7.0000000000000001E-3"/>
    <n v="5.1999999999999998E-2"/>
    <n v="4.0000000000000001E-3"/>
    <n v="1E-3"/>
  </r>
  <r>
    <x v="0"/>
    <x v="3"/>
    <n v="0.64900000000000002"/>
    <n v="1.6E-2"/>
    <n v="0.20399999999999999"/>
    <n v="2.7E-2"/>
    <n v="8.2000000000000003E-2"/>
    <n v="1.9E-2"/>
    <n v="3.0000000000000001E-3"/>
  </r>
  <r>
    <x v="1"/>
    <x v="4"/>
    <n v="0.81299999999999994"/>
    <n v="0.02"/>
    <n v="0.104"/>
    <n v="6.0000000000000001E-3"/>
    <n v="5.1999999999999998E-2"/>
    <n v="6.0000000000000001E-3"/>
    <n v="1E-3"/>
  </r>
  <r>
    <x v="0"/>
    <x v="5"/>
    <n v="0.77700000000000002"/>
    <n v="2.7E-2"/>
    <n v="0.11700000000000001"/>
    <n v="1.2999999999999999E-2"/>
    <n v="6.0999999999999999E-2"/>
    <n v="6.0000000000000001E-3"/>
    <n v="0"/>
  </r>
  <r>
    <x v="0"/>
    <x v="6"/>
    <n v="0.63"/>
    <n v="2.5999999999999999E-2"/>
    <n v="0.22700000000000001"/>
    <n v="2.3E-2"/>
    <n v="7.2999999999999995E-2"/>
    <n v="2.1999999999999999E-2"/>
    <n v="0"/>
  </r>
  <r>
    <x v="0"/>
    <x v="7"/>
    <n v="0.64500000000000002"/>
    <n v="2.8000000000000001E-2"/>
    <n v="0.222"/>
    <n v="3.4000000000000002E-2"/>
    <n v="0.06"/>
    <n v="0.01"/>
    <n v="0"/>
  </r>
  <r>
    <x v="1"/>
    <x v="8"/>
    <n v="0.8"/>
    <n v="2.7E-2"/>
    <n v="9.1999999999999998E-2"/>
    <n v="0.01"/>
    <n v="0.06"/>
    <n v="0.01"/>
    <n v="1E-3"/>
  </r>
  <r>
    <x v="1"/>
    <x v="9"/>
    <n v="0.69399999999999995"/>
    <n v="2.7E-2"/>
    <n v="0.187"/>
    <n v="0.01"/>
    <n v="7.0000000000000007E-2"/>
    <n v="1.0999999999999999E-2"/>
    <n v="1E-3"/>
  </r>
  <r>
    <x v="1"/>
    <x v="10"/>
    <n v="0.66200000000000003"/>
    <n v="6.0999999999999999E-2"/>
    <n v="0.19900000000000001"/>
    <n v="7.0000000000000001E-3"/>
    <n v="6.2E-2"/>
    <n v="8.0000000000000002E-3"/>
    <n v="1E-3"/>
  </r>
  <r>
    <x v="1"/>
    <x v="11"/>
    <n v="0.66300000000000003"/>
    <n v="5.7000000000000002E-2"/>
    <n v="0.18"/>
    <n v="0.01"/>
    <n v="8.1000000000000003E-2"/>
    <n v="5.0000000000000001E-3"/>
    <n v="4.0000000000000001E-3"/>
  </r>
  <r>
    <x v="1"/>
    <x v="12"/>
    <n v="0.70599999999999996"/>
    <n v="2.1999999999999999E-2"/>
    <n v="0.191"/>
    <n v="1.4999999999999999E-2"/>
    <n v="5.8999999999999997E-2"/>
    <n v="4.0000000000000001E-3"/>
    <n v="2E-3"/>
  </r>
  <r>
    <x v="1"/>
    <x v="13"/>
    <n v="0.67200000000000004"/>
    <n v="4.2000000000000003E-2"/>
    <n v="0.186"/>
    <n v="1.7999999999999999E-2"/>
    <n v="7.5999999999999998E-2"/>
    <n v="5.0000000000000001E-3"/>
    <n v="1E-3"/>
  </r>
  <r>
    <x v="1"/>
    <x v="14"/>
    <n v="0.628"/>
    <n v="4.9000000000000002E-2"/>
    <n v="0.215"/>
    <n v="8.9999999999999993E-3"/>
    <n v="8.6999999999999994E-2"/>
    <n v="6.0000000000000001E-3"/>
    <n v="6.0000000000000001E-3"/>
  </r>
  <r>
    <x v="1"/>
    <x v="15"/>
    <n v="0.75"/>
    <n v="2.8000000000000001E-2"/>
    <n v="0.14199999999999999"/>
    <n v="1.2999999999999999E-2"/>
    <n v="6.2E-2"/>
    <n v="4.0000000000000001E-3"/>
    <n v="1E-3"/>
  </r>
  <r>
    <x v="2"/>
    <x v="16"/>
    <n v="0.63600000000000001"/>
    <n v="6.4000000000000001E-2"/>
    <n v="0.20100000000000001"/>
    <n v="2.1999999999999999E-2"/>
    <n v="6.9000000000000006E-2"/>
    <n v="6.0000000000000001E-3"/>
    <n v="2E-3"/>
  </r>
  <r>
    <x v="2"/>
    <x v="17"/>
    <n v="0.63600000000000001"/>
    <n v="4.9000000000000002E-2"/>
    <n v="0.21099999999999999"/>
    <n v="2.4E-2"/>
    <n v="6.8000000000000005E-2"/>
    <n v="8.9999999999999993E-3"/>
    <n v="3.0000000000000001E-3"/>
  </r>
  <r>
    <x v="2"/>
    <x v="18"/>
    <n v="0.67200000000000004"/>
    <n v="4.1000000000000002E-2"/>
    <n v="0.20599999999999999"/>
    <n v="1.2999999999999999E-2"/>
    <n v="0.06"/>
    <n v="5.0000000000000001E-3"/>
    <n v="3.0000000000000001E-3"/>
  </r>
  <r>
    <x v="2"/>
    <x v="19"/>
    <n v="0.56399999999999995"/>
    <n v="9.0999999999999998E-2"/>
    <n v="0.247"/>
    <n v="1.0999999999999999E-2"/>
    <n v="7.3999999999999996E-2"/>
    <n v="8.9999999999999993E-3"/>
    <n v="4.0000000000000001E-3"/>
  </r>
  <r>
    <x v="3"/>
    <x v="20"/>
    <n v="0.56899999999999995"/>
    <n v="0.107"/>
    <n v="0.23100000000000001"/>
    <n v="2.1999999999999999E-2"/>
    <n v="6.2E-2"/>
    <n v="8.0000000000000002E-3"/>
    <n v="2E-3"/>
  </r>
  <r>
    <x v="3"/>
    <x v="21"/>
    <n v="0.64500000000000002"/>
    <n v="6.0999999999999999E-2"/>
    <n v="0.23100000000000001"/>
    <n v="1.4999999999999999E-2"/>
    <n v="4.2999999999999997E-2"/>
    <n v="3.0000000000000001E-3"/>
    <n v="2E-3"/>
  </r>
  <r>
    <x v="3"/>
    <x v="22"/>
    <n v="0.66600000000000004"/>
    <n v="9.4E-2"/>
    <n v="0.16300000000000001"/>
    <n v="1.4E-2"/>
    <n v="5.7000000000000002E-2"/>
    <n v="4.0000000000000001E-3"/>
    <n v="2E-3"/>
  </r>
  <r>
    <x v="4"/>
    <x v="23"/>
    <n v="0.51300000000000001"/>
    <n v="0.126"/>
    <n v="0.23200000000000001"/>
    <n v="4.2000000000000003E-2"/>
    <n v="7.3999999999999996E-2"/>
    <n v="8.9999999999999993E-3"/>
    <n v="4.0000000000000001E-3"/>
  </r>
  <r>
    <x v="4"/>
    <x v="24"/>
    <n v="0.59"/>
    <n v="0.06"/>
    <n v="0.252"/>
    <n v="4.2000000000000003E-2"/>
    <n v="4.8000000000000001E-2"/>
    <n v="5.0000000000000001E-3"/>
    <n v="3.0000000000000001E-3"/>
  </r>
  <r>
    <x v="4"/>
    <x v="25"/>
    <n v="0.5"/>
    <n v="0.124"/>
    <n v="0.26900000000000002"/>
    <n v="2.5999999999999999E-2"/>
    <n v="7.4999999999999997E-2"/>
    <n v="5.0000000000000001E-3"/>
    <n v="2E-3"/>
  </r>
  <r>
    <x v="4"/>
    <x v="26"/>
    <n v="0.47899999999999998"/>
    <n v="7.0000000000000007E-2"/>
    <n v="0.33100000000000002"/>
    <n v="3.2000000000000001E-2"/>
    <n v="0.08"/>
    <n v="5.0000000000000001E-3"/>
    <n v="2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Acre"/>
    <n v="0.95299999999999996"/>
    <n v="0.92500000000000004"/>
    <n v="0.60399999999999998"/>
    <n v="0.32"/>
    <n v="0.38600000000000001"/>
    <n v="0.79300000000000004"/>
    <n v="0.26700000000000002"/>
  </r>
  <r>
    <x v="0"/>
    <s v="Rondônia"/>
    <n v="0.98299999999999998"/>
    <n v="0.98899999999999999"/>
    <n v="0.79900000000000004"/>
    <n v="0.55100000000000005"/>
    <n v="0.54700000000000004"/>
    <n v="0.92"/>
    <n v="0.374"/>
  </r>
  <r>
    <x v="0"/>
    <s v="Amapá"/>
    <n v="0.97599999999999998"/>
    <n v="0.98299999999999998"/>
    <n v="0.83099999999999996"/>
    <n v="0.32900000000000001"/>
    <n v="0.16"/>
    <n v="0.90900000000000003"/>
    <n v="0.29199999999999998"/>
  </r>
  <r>
    <x v="0"/>
    <s v="Amazonas"/>
    <n v="0.94799999999999995"/>
    <n v="0.93799999999999994"/>
    <n v="0.67"/>
    <n v="0.27500000000000002"/>
    <n v="0.25800000000000001"/>
    <n v="0.83799999999999997"/>
    <n v="0.30199999999999999"/>
  </r>
  <r>
    <x v="1"/>
    <s v="Ceará"/>
    <n v="0.96599999999999997"/>
    <n v="0.98199999999999998"/>
    <n v="0.46500000000000002"/>
    <n v="0.3"/>
    <n v="0.40400000000000003"/>
    <n v="0.89800000000000002"/>
    <n v="0.27900000000000003"/>
  </r>
  <r>
    <x v="0"/>
    <s v="Roraima"/>
    <n v="0.98"/>
    <n v="0.96699999999999997"/>
    <n v="0.71899999999999997"/>
    <n v="0.45300000000000001"/>
    <n v="0.371"/>
    <n v="0.91800000000000004"/>
    <n v="0.29199999999999998"/>
  </r>
  <r>
    <x v="1"/>
    <s v="Maranhão"/>
    <n v="0.94"/>
    <n v="0.98199999999999998"/>
    <n v="0.34300000000000003"/>
    <n v="0.22600000000000001"/>
    <n v="0.497"/>
    <n v="0.84399999999999997"/>
    <n v="0.20799999999999999"/>
  </r>
  <r>
    <x v="0"/>
    <s v="Pará"/>
    <n v="0.94499999999999995"/>
    <n v="0.92"/>
    <n v="0.41"/>
    <n v="0.24"/>
    <n v="0.38300000000000001"/>
    <n v="0.85"/>
    <n v="0.22600000000000001"/>
  </r>
  <r>
    <x v="0"/>
    <s v="Tocantins"/>
    <n v="0.98"/>
    <n v="0.98699999999999999"/>
    <n v="0.58399999999999996"/>
    <n v="0.48299999999999998"/>
    <n v="0.51100000000000001"/>
    <n v="0.89900000000000002"/>
    <n v="0.32900000000000001"/>
  </r>
  <r>
    <x v="1"/>
    <s v="Piauí"/>
    <n v="0.95899999999999996"/>
    <n v="0.98199999999999998"/>
    <n v="0.35299999999999998"/>
    <n v="0.33300000000000002"/>
    <n v="0.57999999999999996"/>
    <n v="0.87"/>
    <n v="0.27500000000000002"/>
  </r>
  <r>
    <x v="1"/>
    <s v="Rio Grande do Norte"/>
    <n v="0.96699999999999997"/>
    <n v="0.99399999999999999"/>
    <n v="0.49299999999999999"/>
    <n v="0.371"/>
    <n v="0.36899999999999999"/>
    <n v="0.91200000000000003"/>
    <n v="0.33800000000000002"/>
  </r>
  <r>
    <x v="1"/>
    <s v="Paraíba"/>
    <n v="0.97299999999999998"/>
    <n v="0.98599999999999999"/>
    <n v="0.41"/>
    <n v="0.36199999999999999"/>
    <n v="0.44700000000000001"/>
    <n v="0.89100000000000001"/>
    <n v="0.29699999999999999"/>
  </r>
  <r>
    <x v="1"/>
    <s v="Pernambuco"/>
    <n v="0.96299999999999997"/>
    <n v="0.98699999999999999"/>
    <n v="0.47099999999999997"/>
    <n v="0.32800000000000001"/>
    <n v="0.23899999999999999"/>
    <n v="0.89100000000000001"/>
    <n v="0.30199999999999999"/>
  </r>
  <r>
    <x v="1"/>
    <s v="Alagoas"/>
    <n v="0.96699999999999997"/>
    <n v="0.98199999999999998"/>
    <n v="0.375"/>
    <n v="0.28399999999999997"/>
    <n v="0.32600000000000001"/>
    <n v="0.89800000000000002"/>
    <n v="0.245"/>
  </r>
  <r>
    <x v="1"/>
    <s v="Sergipe"/>
    <n v="0.97799999999999998"/>
    <n v="0.98199999999999998"/>
    <n v="0.45800000000000002"/>
    <n v="0.32600000000000001"/>
    <n v="0.33500000000000002"/>
    <n v="0.90100000000000002"/>
    <n v="0.28399999999999997"/>
  </r>
  <r>
    <x v="1"/>
    <s v="Bahia"/>
    <n v="0.96699999999999997"/>
    <n v="0.97599999999999998"/>
    <n v="0.42199999999999999"/>
    <n v="0.34799999999999998"/>
    <n v="0.30199999999999999"/>
    <n v="0.89200000000000002"/>
    <n v="0.27400000000000002"/>
  </r>
  <r>
    <x v="2"/>
    <s v="Minas Gerais"/>
    <n v="0.98599999999999999"/>
    <n v="0.99399999999999999"/>
    <n v="0.71199999999999997"/>
    <n v="0.58799999999999997"/>
    <n v="0.29199999999999998"/>
    <n v="0.92400000000000004"/>
    <n v="0.442"/>
  </r>
  <r>
    <x v="2"/>
    <s v="Espírito Santo"/>
    <n v="0.98899999999999999"/>
    <n v="0.995"/>
    <n v="0.747"/>
    <n v="0.55300000000000005"/>
    <n v="0.27800000000000002"/>
    <n v="0.92400000000000004"/>
    <n v="0.44800000000000001"/>
  </r>
  <r>
    <x v="2"/>
    <s v="Rio de Janeiro"/>
    <n v="0.98699999999999999"/>
    <n v="0.99399999999999999"/>
    <n v="0.84299999999999997"/>
    <n v="0.497"/>
    <n v="0.13"/>
    <n v="0.93700000000000006"/>
    <n v="0.51300000000000001"/>
  </r>
  <r>
    <x v="2"/>
    <s v="São Paulo"/>
    <n v="0.99299999999999999"/>
    <n v="0.996"/>
    <n v="0.89500000000000002"/>
    <n v="0.66400000000000003"/>
    <n v="0.19900000000000001"/>
    <n v="0.95699999999999996"/>
    <n v="0.55500000000000005"/>
  </r>
  <r>
    <x v="3"/>
    <s v="Paraná"/>
    <n v="0.98599999999999999"/>
    <n v="0.995"/>
    <n v="0.88400000000000001"/>
    <n v="0.73599999999999999"/>
    <n v="0.26"/>
    <n v="0.93500000000000005"/>
    <n v="0.499"/>
  </r>
  <r>
    <x v="3"/>
    <s v="Santa Catarina"/>
    <n v="0.99199999999999999"/>
    <n v="0.997"/>
    <n v="0.95699999999999996"/>
    <n v="0.79"/>
    <n v="0.27500000000000002"/>
    <n v="0.94099999999999995"/>
    <n v="0.54700000000000004"/>
  </r>
  <r>
    <x v="3"/>
    <s v="Rio Grande do Sul"/>
    <n v="0.99"/>
    <n v="0.997"/>
    <n v="0.91"/>
    <n v="0.72199999999999998"/>
    <n v="0.19900000000000001"/>
    <n v="0.93799999999999994"/>
    <n v="0.50900000000000001"/>
  </r>
  <r>
    <x v="4"/>
    <s v="Mato Grosso do Sul"/>
    <n v="0.99"/>
    <n v="0.99199999999999999"/>
    <n v="0.81599999999999995"/>
    <n v="0.63200000000000001"/>
    <n v="0.35"/>
    <n v="0.94199999999999995"/>
    <n v="0.432"/>
  </r>
  <r>
    <x v="4"/>
    <s v="Mato Grosso"/>
    <n v="0.99099999999999999"/>
    <n v="0.99399999999999999"/>
    <n v="0.85199999999999998"/>
    <n v="0.59699999999999998"/>
    <n v="0.48699999999999999"/>
    <n v="0.94099999999999995"/>
    <n v="0.38600000000000001"/>
  </r>
  <r>
    <x v="4"/>
    <s v="Goiás"/>
    <n v="0.99399999999999999"/>
    <n v="0.99299999999999999"/>
    <n v="0.80500000000000005"/>
    <n v="0.63700000000000001"/>
    <n v="0.32600000000000001"/>
    <n v="0.94199999999999995"/>
    <n v="0.42299999999999999"/>
  </r>
  <r>
    <x v="4"/>
    <s v="Distrito Federal"/>
    <n v="0.998"/>
    <n v="0.99099999999999999"/>
    <n v="0.86399999999999999"/>
    <n v="0.71"/>
    <n v="0.113"/>
    <n v="0.97599999999999998"/>
    <n v="0.6740000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EC9EC-765A-4985-86EC-CE5C39A1C591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1:L7" firstHeaderRow="0" firstDataRow="1" firstDataCol="1"/>
  <pivotFields count="9"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Média de Sem instrução" fld="2" subtotal="average" baseField="0" baseItem="0"/>
    <dataField name="Média de Ensino fundamental incompleto" fld="3" subtotal="average" baseField="0" baseItem="0"/>
    <dataField name="Média de Ensino fundamental completo" fld="4" subtotal="average" baseField="0" baseItem="0"/>
    <dataField name="Média de Ensino médio incompleto" fld="5" subtotal="average" baseField="0" baseItem="0"/>
    <dataField name="Média de Ensino médio completo" fld="6" subtotal="average" baseField="0" baseItem="0"/>
    <dataField name="Média de Ensino superior incompleto" fld="7" subtotal="average" baseField="0" baseItem="0"/>
    <dataField name="Média de Ensino superior completo" fld="8" subtotal="average" baseField="0" baseItem="0"/>
  </dataFields>
  <formats count="13">
    <format dxfId="47">
      <pivotArea outline="0" collapsedLevelsAreSubtotals="1" fieldPosition="0"/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4">
      <pivotArea field="0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DE20E-7481-4831-9371-36BE2C8CE81B}" name="Tabela dinâmica9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53:L59" firstHeaderRow="0" firstDataRow="1" firstDataCol="1"/>
  <pivotFields count="9"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Média de Telefone fixo ou ao menos um celular" fld="2" subtotal="average" baseField="0" baseItem="0"/>
    <dataField name="Média de Geladeira" fld="3" subtotal="average" baseField="0" baseItem="0"/>
    <dataField name="Média de Máquina de lavar roupa" fld="4" subtotal="average" baseField="0" baseItem="0"/>
    <dataField name="Média de Automóvel" fld="5" subtotal="average" baseField="0" baseItem="0"/>
    <dataField name="Média de Motocicleta" fld="6" subtotal="average" baseField="0" baseItem="0"/>
    <dataField name="Média de Acesso à internet" fld="7" subtotal="average" baseField="0" baseItem="0"/>
    <dataField name="Média de Microcomputador" fld="8" subtotal="average" baseField="0" baseItem="0"/>
  </dataFields>
  <formats count="8">
    <format dxfId="55">
      <pivotArea collapsedLevelsAreSubtotals="1" fieldPosition="0">
        <references count="1">
          <reference field="0" count="0"/>
        </references>
      </pivotArea>
    </format>
    <format dxfId="54">
      <pivotArea grandRow="1" outline="0" collapsedLevelsAreSubtotals="1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DF6C1-BFFE-4938-AB34-8F8F1896FEC8}" name="Tabela dinâmica6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40:L46" firstHeaderRow="0" firstDataRow="1" firstDataCol="1"/>
  <pivotFields count="9"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Média de Próprio - Já pago" fld="2" subtotal="average" baseField="0" baseItem="0"/>
    <dataField name="Média de Próprio - Pagando" fld="3" subtotal="average" baseField="0" baseItem="0"/>
    <dataField name="Média de Alugado" fld="4" subtotal="average" baseField="0" baseItem="0"/>
    <dataField name="Média de Cedido por empregador" fld="5" subtotal="average" baseField="0" baseItem="0"/>
    <dataField name="Média de Cedido por familiar" fld="6" subtotal="average" baseField="0" baseItem="0"/>
    <dataField name="Média de Cedido de outra forma" fld="7" subtotal="average" baseField="0" baseItem="0"/>
    <dataField name="Média de Outra forma" fld="8" subtotal="average" baseField="0" baseItem="0"/>
  </dataFields>
  <formats count="8">
    <format dxfId="63">
      <pivotArea collapsedLevelsAreSubtotals="1" fieldPosition="0">
        <references count="1">
          <reference field="0" count="0"/>
        </references>
      </pivotArea>
    </format>
    <format dxfId="62">
      <pivotArea grandRow="1" outline="0" collapsedLevelsAreSubtotals="1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0" type="button" dataOnly="0" labelOnly="1" outline="0" axis="axisRow" fieldPosition="0"/>
    </format>
    <format dxfId="58">
      <pivotArea dataOnly="0" labelOnly="1" fieldPosition="0">
        <references count="1">
          <reference field="0" count="0"/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6E058B-89EA-444C-904E-B5D1207A1575}" name="Tabela dinâmica4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28:K34" firstHeaderRow="0" firstDataRow="1" firstDataCol="1"/>
  <pivotFields count="8"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édia de Rede geral de distribuição" fld="2" subtotal="average" baseField="0" baseItem="0"/>
    <dataField name="Média de Poço profundo ou artesiano" fld="3" subtotal="average" baseField="0" baseItem="0"/>
    <dataField name="Média de Poço raso, freático ou cacimba" fld="4" subtotal="average" baseField="0" baseItem="0"/>
    <dataField name="Média de Fonte ou nascente" fld="5" subtotal="average" baseField="0" baseItem="0"/>
    <dataField name="Média de Água da chuva armazenada" fld="6" subtotal="average" baseField="0" baseItem="0"/>
    <dataField name="Média de Outra forma" fld="7" subtotal="average" baseField="0" baseItem="0"/>
  </dataFields>
  <formats count="8">
    <format dxfId="71">
      <pivotArea collapsedLevelsAreSubtotals="1" fieldPosition="0">
        <references count="1">
          <reference field="0" count="0"/>
        </references>
      </pivotArea>
    </format>
    <format dxfId="70">
      <pivotArea grandRow="1" outline="0" collapsedLevelsAreSubtotals="1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B04307-1867-4069-A682-BC556AE77B25}" name="Tabela dinâ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16:L22" firstHeaderRow="0" firstDataRow="1" firstDataCol="1"/>
  <pivotFields count="10"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Média de Rede Geral ou Pluvial" fld="2" subtotal="average" baseField="0" baseItem="1"/>
    <dataField name="Média de Fossa séptica ligada à rede" fld="3" subtotal="average" baseField="0" baseItem="1"/>
    <dataField name="Média de Fossa séptica não ligada à rede" fld="4" subtotal="average" baseField="0" baseItem="1"/>
    <dataField name="Média de Fossa rudimentar" fld="5" subtotal="average" baseField="0" baseItem="1"/>
    <dataField name="Média de Vala" fld="6" subtotal="average" baseField="0" baseItem="1"/>
    <dataField name="Média de Rio, lago ou mar" fld="7" subtotal="average" baseField="0" baseItem="1"/>
    <dataField name="Média de Outra forma" fld="8" subtotal="average" baseField="0" baseItem="1"/>
  </dataFields>
  <formats count="8">
    <format dxfId="79">
      <pivotArea collapsedLevelsAreSubtotals="1" fieldPosition="0">
        <references count="1">
          <reference field="0" count="0"/>
        </references>
      </pivotArea>
    </format>
    <format dxfId="78">
      <pivotArea grandRow="1" outline="0" collapsedLevelsAreSubtotals="1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4201D2A2-D5E8-41FC-95F9-D3BFDD8E32A5}" autoFormatId="16" applyNumberFormats="0" applyBorderFormats="0" applyFontFormats="0" applyPatternFormats="0" applyAlignmentFormats="0" applyWidthHeightFormats="0">
  <queryTableRefresh nextId="4">
    <queryTableFields count="2">
      <queryTableField id="2" name="UF" tableColumnId="2"/>
      <queryTableField id="3" name="Região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6" xr16:uid="{485B2E1F-46FD-4B70-AD2D-04EC245B226A}" autoFormatId="16" applyNumberFormats="0" applyBorderFormats="0" applyFontFormats="0" applyPatternFormats="0" applyAlignmentFormats="0" applyWidthHeightFormats="0">
  <queryTableRefresh nextId="14">
    <queryTableFields count="9">
      <queryTableField id="10" name="Região" tableColumnId="1"/>
      <queryTableField id="11" name="UF" tableColumnId="2"/>
      <queryTableField id="3" name="Sem instrução" tableColumnId="3"/>
      <queryTableField id="4" name="Ensino fundamental incompleto" tableColumnId="4"/>
      <queryTableField id="5" name="Ensino fundamental completo" tableColumnId="5"/>
      <queryTableField id="6" name="Ensino médio incompleto" tableColumnId="6"/>
      <queryTableField id="7" name="Ensino médio completo" tableColumnId="7"/>
      <queryTableField id="8" name="Ensino superior incompleto" tableColumnId="8"/>
      <queryTableField id="9" name="Ensino superior completo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4" xr16:uid="{99BFF469-417E-4138-ADE1-28FC0AD04EAC}" autoFormatId="16" applyNumberFormats="0" applyBorderFormats="0" applyFontFormats="0" applyPatternFormats="0" applyAlignmentFormats="0" applyWidthHeightFormats="0">
  <queryTableRefresh nextId="10">
    <queryTableFields count="9">
      <queryTableField id="1" name="Região" tableColumnId="1"/>
      <queryTableField id="2" name="UF" tableColumnId="2"/>
      <queryTableField id="3" name="Próprio - Já pago" tableColumnId="3"/>
      <queryTableField id="4" name="Próprio - Pagando" tableColumnId="4"/>
      <queryTableField id="5" name="Alugado" tableColumnId="5"/>
      <queryTableField id="6" name="Cedido por empregador" tableColumnId="6"/>
      <queryTableField id="7" name="Cedido por familiar" tableColumnId="7"/>
      <queryTableField id="8" name="Cedido de outra forma" tableColumnId="8"/>
      <queryTableField id="9" name="Outra forma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3" xr16:uid="{CE65F0AA-522C-4F98-A240-9C4E31DAFD82}" autoFormatId="16" applyNumberFormats="0" applyBorderFormats="0" applyFontFormats="0" applyPatternFormats="0" applyAlignmentFormats="0" applyWidthHeightFormats="0">
  <queryTableRefresh nextId="10">
    <queryTableFields count="9">
      <queryTableField id="1" name="Região" tableColumnId="1"/>
      <queryTableField id="2" name="UF" tableColumnId="2"/>
      <queryTableField id="3" name="Telefone fixo ou ao menos um celular" tableColumnId="3"/>
      <queryTableField id="4" name="Geladeira" tableColumnId="4"/>
      <queryTableField id="5" name="Máquina de lavar roupa" tableColumnId="5"/>
      <queryTableField id="6" name="Automóvel" tableColumnId="6"/>
      <queryTableField id="7" name="Motocicleta" tableColumnId="7"/>
      <queryTableField id="8" name="Acesso à internet" tableColumnId="8"/>
      <queryTableField id="9" name="Microcomputador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" xr16:uid="{0839B680-D02D-4C66-B8D2-2B5DC0FA760C}" autoFormatId="16" applyNumberFormats="0" applyBorderFormats="0" applyFontFormats="0" applyPatternFormats="0" applyAlignmentFormats="0" applyWidthHeightFormats="0">
  <queryTableRefresh nextId="12">
    <queryTableFields count="10">
      <queryTableField id="2" name="Região" tableColumnId="2"/>
      <queryTableField id="3" name="UF" tableColumnId="3"/>
      <queryTableField id="4" name="Rede Geral ou Pluvial" tableColumnId="4"/>
      <queryTableField id="5" name="Fossa séptica ligada à rede" tableColumnId="5"/>
      <queryTableField id="6" name="Fossa séptica não ligada à rede" tableColumnId="6"/>
      <queryTableField id="7" name="Fossa rudimentar" tableColumnId="7"/>
      <queryTableField id="8" name="Vala" tableColumnId="8"/>
      <queryTableField id="9" name="Rio, lago ou mar" tableColumnId="9"/>
      <queryTableField id="10" name="Outra forma" tableColumnId="10"/>
      <queryTableField id="11" name="Sem banheiro ou sanitário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E1F00C08-6279-4425-8E51-BE3E2EEA6525}" autoFormatId="16" applyNumberFormats="0" applyBorderFormats="0" applyFontFormats="0" applyPatternFormats="0" applyAlignmentFormats="0" applyWidthHeightFormats="0">
  <queryTableRefresh nextId="17">
    <queryTableFields count="8">
      <queryTableField id="9" name="Região" tableColumnId="1"/>
      <queryTableField id="10" name="UF" tableColumnId="2"/>
      <queryTableField id="11" name="Rede geral de distribuição" tableColumnId="3"/>
      <queryTableField id="12" name="Poço profundo ou artesiano" tableColumnId="4"/>
      <queryTableField id="13" name="Poço raso, freático ou cacimba" tableColumnId="5"/>
      <queryTableField id="14" name="Fonte ou nascente" tableColumnId="6"/>
      <queryTableField id="15" name="Água da chuva armazenada" tableColumnId="7"/>
      <queryTableField id="16" name="Outra forma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A651C5D6-0A30-4FD7-87DC-FEAB410B5FCF}" autoFormatId="16" applyNumberFormats="0" applyBorderFormats="0" applyFontFormats="0" applyPatternFormats="0" applyAlignmentFormats="0" applyWidthHeightFormats="0">
  <queryTableRefresh nextId="11">
    <queryTableFields count="3">
      <queryTableField id="8" name="Região" tableColumnId="6"/>
      <queryTableField id="9" name="UF" tableColumnId="7"/>
      <queryTableField id="10" name="Renda Média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EB3361-9DA7-43B1-AD37-BCB993B976A1}" name="Tabela2" displayName="Tabela2" ref="A1:C28" totalsRowShown="0" headerRowDxfId="85" dataDxfId="83" headerRowBorderDxfId="84">
  <autoFilter ref="A1:C28" xr:uid="{92EB3361-9DA7-43B1-AD37-BCB993B976A1}"/>
  <tableColumns count="3">
    <tableColumn id="1" xr3:uid="{501DC6CD-B8A7-4806-A6E5-85D9E726FCB1}" name="ID_UF" dataDxfId="82"/>
    <tableColumn id="2" xr3:uid="{5BC49BBA-E874-44B0-ACC7-F1FADB40C322}" name="UF" dataDxfId="81"/>
    <tableColumn id="3" xr3:uid="{3F9BA8E5-0760-4145-872C-2F70C898FEBB}" name="Região" dataDxfId="8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BDD4C5-878D-44F3-811D-F13E1E3A8E69}" name="UF_e_Região" displayName="UF_e_Região" ref="A1:B28" tableType="queryTable" totalsRowShown="0">
  <autoFilter ref="A1:B28" xr:uid="{FFBDD4C5-878D-44F3-811D-F13E1E3A8E69}"/>
  <tableColumns count="2">
    <tableColumn id="2" xr3:uid="{C722574B-2EAE-48F8-B728-32E766145567}" uniqueName="2" name="UF" queryTableFieldId="2" dataDxfId="21"/>
    <tableColumn id="3" xr3:uid="{994AE05B-F9EC-4D47-B0DC-FD852B7AAF88}" uniqueName="3" name="Região" queryTableFieldId="3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A592D7-E798-4BCB-98FD-86B088FD349F}" name="Nível_de_instrução" displayName="Nível_de_instrução" ref="A1:I28" tableType="queryTable" totalsRowShown="0">
  <autoFilter ref="A1:I28" xr:uid="{8AA592D7-E798-4BCB-98FD-86B088FD349F}"/>
  <sortState xmlns:xlrd2="http://schemas.microsoft.com/office/spreadsheetml/2017/richdata2" ref="A2:I28">
    <sortCondition ref="B1:B28"/>
  </sortState>
  <tableColumns count="9">
    <tableColumn id="1" xr3:uid="{465F3126-8339-4B79-A663-CD3DF3E140CF}" uniqueName="1" name="Região" queryTableFieldId="10" dataDxfId="1"/>
    <tableColumn id="2" xr3:uid="{39BF6DA9-0C3E-4539-B37A-024F1698B397}" uniqueName="2" name="UF" queryTableFieldId="11" dataDxfId="0"/>
    <tableColumn id="3" xr3:uid="{A16ECEFF-6E6D-4F01-BED8-BFA303C6C2ED}" uniqueName="3" name="Sem instrução" queryTableFieldId="3"/>
    <tableColumn id="4" xr3:uid="{639E2CB9-A5ED-4E5C-81D9-8CB3D0F5A966}" uniqueName="4" name="Ensino fundamental incompleto" queryTableFieldId="4"/>
    <tableColumn id="5" xr3:uid="{FCF277D1-86EA-4D4E-BC65-009AAA506E4A}" uniqueName="5" name="Ensino fundamental completo" queryTableFieldId="5"/>
    <tableColumn id="6" xr3:uid="{CB8582A6-634C-4AE5-8AC8-A41857628CE0}" uniqueName="6" name="Ensino médio incompleto" queryTableFieldId="6"/>
    <tableColumn id="7" xr3:uid="{DBD117AE-1835-4184-8935-8466F0E7E55C}" uniqueName="7" name="Ensino médio completo" queryTableFieldId="7"/>
    <tableColumn id="8" xr3:uid="{6EA171B5-CE88-439C-AFD7-7F7A856BA63B}" uniqueName="8" name="Ensino superior incompleto" queryTableFieldId="8"/>
    <tableColumn id="9" xr3:uid="{558587B3-80AE-469C-A786-DA2F2BD5F541}" uniqueName="9" name="Ensino superior complet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03D6A5-D599-4F66-BB84-CF67DF9C31DC}" name="Condição_de_moradia" displayName="Condição_de_moradia" ref="A1:I28" tableType="queryTable" totalsRowShown="0">
  <autoFilter ref="A1:I28" xr:uid="{3003D6A5-D599-4F66-BB84-CF67DF9C31DC}"/>
  <sortState xmlns:xlrd2="http://schemas.microsoft.com/office/spreadsheetml/2017/richdata2" ref="A2:I28">
    <sortCondition ref="B1:B28"/>
  </sortState>
  <tableColumns count="9">
    <tableColumn id="1" xr3:uid="{8EB190A9-C9FD-4C96-82C6-F7FEB3AF5BD6}" uniqueName="1" name="Região" queryTableFieldId="1" dataDxfId="16"/>
    <tableColumn id="2" xr3:uid="{9F2F97E4-E670-4B61-9DCB-8FF13D7F271D}" uniqueName="2" name="UF" queryTableFieldId="2" dataDxfId="15"/>
    <tableColumn id="3" xr3:uid="{10B3CCBE-A4A8-41A8-8A31-E17E0FE9F35A}" uniqueName="3" name="Próprio - Já pago" queryTableFieldId="3" dataDxfId="14"/>
    <tableColumn id="4" xr3:uid="{06F694D6-1FC8-47A5-9A2E-5E00938C4421}" uniqueName="4" name="Próprio - Pagando" queryTableFieldId="4" dataDxfId="13"/>
    <tableColumn id="5" xr3:uid="{7A32B391-060F-4B4F-958A-2D17608BA26A}" uniqueName="5" name="Alugado" queryTableFieldId="5" dataDxfId="12"/>
    <tableColumn id="6" xr3:uid="{C653FA7E-5F73-4A03-91F2-0DBDC0DB03AA}" uniqueName="6" name="Cedido por empregador" queryTableFieldId="6" dataDxfId="11"/>
    <tableColumn id="7" xr3:uid="{9F79BB09-C9EB-4FC8-B7C2-2CCABCDF67DD}" uniqueName="7" name="Cedido por familiar" queryTableFieldId="7" dataDxfId="10"/>
    <tableColumn id="8" xr3:uid="{A8518207-3876-49EA-ADDE-AB46A0F2D802}" uniqueName="8" name="Cedido de outra forma" queryTableFieldId="8" dataDxfId="9"/>
    <tableColumn id="9" xr3:uid="{88DF2E2C-F472-46D3-994B-C12B92E25BC0}" uniqueName="9" name="Outra forma" queryTableFieldId="9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ABEB1D-6E8E-4895-9C27-FA4982747AF3}" name="Bens_em_domicílio" displayName="Bens_em_domicílio" ref="A1:I28" tableType="queryTable" totalsRowShown="0">
  <autoFilter ref="A1:I28" xr:uid="{01ABEB1D-6E8E-4895-9C27-FA4982747AF3}"/>
  <tableColumns count="9">
    <tableColumn id="1" xr3:uid="{A2F8CC2D-6563-41F2-AFEE-0F60889F16E3}" uniqueName="1" name="Região" queryTableFieldId="1" dataDxfId="3"/>
    <tableColumn id="2" xr3:uid="{D2357A48-9F85-4560-85D7-75359D10D936}" uniqueName="2" name="UF" queryTableFieldId="2" dataDxfId="2"/>
    <tableColumn id="3" xr3:uid="{FCB8E8CD-EC9F-448B-B304-489B9C7DA480}" uniqueName="3" name="Telefone fixo ou ao menos um celular" queryTableFieldId="3"/>
    <tableColumn id="4" xr3:uid="{6CCCAEB6-5EAE-4A3A-A6F3-4A7211887D5D}" uniqueName="4" name="Geladeira" queryTableFieldId="4"/>
    <tableColumn id="5" xr3:uid="{7D7E2DC2-207B-40D9-B2A8-192749D46AEA}" uniqueName="5" name="Máquina de lavar roupa" queryTableFieldId="5"/>
    <tableColumn id="6" xr3:uid="{D22761A6-33D8-443B-8AF6-B805B68A2187}" uniqueName="6" name="Automóvel" queryTableFieldId="6"/>
    <tableColumn id="7" xr3:uid="{9BB1CA34-C04F-469C-85A8-898280330815}" uniqueName="7" name="Motocicleta" queryTableFieldId="7"/>
    <tableColumn id="8" xr3:uid="{07591FDA-39B5-4C35-AAD4-A232D08B9881}" uniqueName="8" name="Acesso à internet" queryTableFieldId="8"/>
    <tableColumn id="9" xr3:uid="{BBE7839A-41AD-44B4-BDAA-C8764EFEE2F0}" uniqueName="9" name="Microcomputador" queryTableField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7651CB-51CF-43C0-892E-728A37EFCFE5}" name="Acesso_a_esgoto" displayName="Acesso_a_esgoto" ref="A1:J28" tableType="queryTable" totalsRowShown="0">
  <autoFilter ref="A1:J28" xr:uid="{4A7651CB-51CF-43C0-892E-728A37EFCFE5}"/>
  <sortState xmlns:xlrd2="http://schemas.microsoft.com/office/spreadsheetml/2017/richdata2" ref="A2:J28">
    <sortCondition ref="B1:B28"/>
  </sortState>
  <tableColumns count="10">
    <tableColumn id="2" xr3:uid="{8D5E9F48-65AE-45A9-9C79-85AFB09E7DE6}" uniqueName="2" name="Região" queryTableFieldId="2" dataDxfId="7"/>
    <tableColumn id="3" xr3:uid="{E6866C94-FC56-4D1E-915B-0136C639764C}" uniqueName="3" name="UF" queryTableFieldId="3" dataDxfId="6"/>
    <tableColumn id="4" xr3:uid="{1ECA411E-603A-48CD-8EE5-F3B4642DF58D}" uniqueName="4" name="Rede Geral ou Pluvial" queryTableFieldId="4"/>
    <tableColumn id="5" xr3:uid="{3DA04C12-A037-422E-9C13-59F3646DF54C}" uniqueName="5" name="Fossa séptica ligada à rede" queryTableFieldId="5"/>
    <tableColumn id="6" xr3:uid="{96CCE3BC-E8D3-4CD4-8039-EC56319246DD}" uniqueName="6" name="Fossa séptica não ligada à rede" queryTableFieldId="6"/>
    <tableColumn id="7" xr3:uid="{5C7B74B6-AABD-4D93-B24A-E4DAC4A02F00}" uniqueName="7" name="Fossa rudimentar" queryTableFieldId="7"/>
    <tableColumn id="8" xr3:uid="{BE2D480A-2D82-44D2-ADBF-2A29B70359C5}" uniqueName="8" name="Vala" queryTableFieldId="8"/>
    <tableColumn id="9" xr3:uid="{DEDFBB34-B843-443F-85A2-A65CAD868C64}" uniqueName="9" name="Rio, lago ou mar" queryTableFieldId="9"/>
    <tableColumn id="10" xr3:uid="{E1E0615B-08E0-435F-B039-D24EED34694F}" uniqueName="10" name="Outra forma" queryTableFieldId="10"/>
    <tableColumn id="11" xr3:uid="{C2381FE0-8AF8-4AF2-AACB-3B6EF7EAC4E4}" uniqueName="11" name="Sem banheiro ou sanitário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1E105F-AF80-44D5-B20D-EFE1F25DB274}" name="Acesso_ao_abastecimento_de_água" displayName="Acesso_ao_abastecimento_de_água" ref="A1:H28" tableType="queryTable" totalsRowShown="0">
  <autoFilter ref="A1:H28" xr:uid="{261E105F-AF80-44D5-B20D-EFE1F25DB274}"/>
  <sortState xmlns:xlrd2="http://schemas.microsoft.com/office/spreadsheetml/2017/richdata2" ref="A2:H28">
    <sortCondition ref="B1:B28"/>
  </sortState>
  <tableColumns count="8">
    <tableColumn id="1" xr3:uid="{D1C0DED2-9931-4AF4-8DD2-FBCEAEFBABBE}" uniqueName="1" name="Região" queryTableFieldId="9" dataDxfId="5"/>
    <tableColumn id="2" xr3:uid="{F0797009-4B4F-4D7D-8BCB-98CF4AC31BDA}" uniqueName="2" name="UF" queryTableFieldId="10" dataDxfId="4"/>
    <tableColumn id="3" xr3:uid="{C58DC3AF-9BF2-41B4-A1F9-DFCAF2199A7E}" uniqueName="3" name="Rede geral de distribuição" queryTableFieldId="11"/>
    <tableColumn id="4" xr3:uid="{0B1D952A-23CE-4658-AED4-C633AA9EEDC0}" uniqueName="4" name="Poço profundo ou artesiano" queryTableFieldId="12"/>
    <tableColumn id="5" xr3:uid="{45963BAE-418D-4EAE-A7B1-F8CFAE6F7DCE}" uniqueName="5" name="Poço raso, freático ou cacimba" queryTableFieldId="13"/>
    <tableColumn id="6" xr3:uid="{57D0E75C-A655-4E0D-9142-71C03AEDC4F3}" uniqueName="6" name="Fonte ou nascente" queryTableFieldId="14"/>
    <tableColumn id="7" xr3:uid="{2E2FA389-1711-4ADA-A6F4-B1C2B83CE0FE}" uniqueName="7" name="Água da chuva armazenada" queryTableFieldId="15"/>
    <tableColumn id="8" xr3:uid="{A136AF6F-E4EA-41F6-ADA8-D5EDBCF841E4}" uniqueName="8" name="Outra forma" queryTableField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647B19-7D32-43AB-BBDF-750CEF0EA8B5}" name="Renda_Média" displayName="Renda_Média" ref="A1:C28" tableType="queryTable" totalsRowShown="0">
  <autoFilter ref="A1:C28" xr:uid="{6E647B19-7D32-43AB-BBDF-750CEF0EA8B5}"/>
  <sortState xmlns:xlrd2="http://schemas.microsoft.com/office/spreadsheetml/2017/richdata2" ref="A2:C28">
    <sortCondition ref="B1:B28"/>
  </sortState>
  <tableColumns count="3">
    <tableColumn id="6" xr3:uid="{99C5FE62-BBBD-47C6-A4B2-7AD5595FE222}" uniqueName="6" name="Região" queryTableFieldId="8" dataDxfId="19"/>
    <tableColumn id="7" xr3:uid="{D19255C3-81F2-47C7-9819-2966B390FE3B}" uniqueName="7" name="UF" queryTableFieldId="9" dataDxfId="18"/>
    <tableColumn id="8" xr3:uid="{EC001D4F-7FE1-4410-8753-9C453D9C5438}" uniqueName="8" name="Renda Média" queryTableFieldId="10" dataDxf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5FE4B8-53D5-4DC4-9103-E7489D3C03CA}" name="Tabela_Regiao" displayName="Tabela_Regiao" ref="A1:A6" totalsRowShown="0" headerRowDxfId="34" dataDxfId="33" tableBorderDxfId="32">
  <autoFilter ref="A1:A6" xr:uid="{E45FE4B8-53D5-4DC4-9103-E7489D3C03CA}"/>
  <tableColumns count="1">
    <tableColumn id="1" xr3:uid="{A9013B7D-4554-4ADE-AFAE-C7FB3BE7322B}" name="Região" dataDxfId="3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61BD84-4D31-48DE-87F9-72E009689D9F}" name="Tabela_Indicador" displayName="Tabela_Indicador" ref="C1:C8" totalsRowShown="0" headerRowDxfId="30" dataDxfId="29" tableBorderDxfId="28">
  <autoFilter ref="C1:C8" xr:uid="{0761BD84-4D31-48DE-87F9-72E009689D9F}"/>
  <tableColumns count="1">
    <tableColumn id="1" xr3:uid="{83E66BBD-B06F-44E3-A391-A4D5CEBED72F}" name="Indicador" dataDxfId="27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7D28FF4-A58E-4910-9661-C464AFB2DC06}" name="Tabela13" displayName="Tabela13" ref="A68:F95" totalsRowShown="0">
  <autoFilter ref="A68:F95" xr:uid="{67D28FF4-A58E-4910-9661-C464AFB2DC06}"/>
  <tableColumns count="6">
    <tableColumn id="1" xr3:uid="{8E669646-F592-4406-8BE2-1A54D0CE7F67}" name="UF"/>
    <tableColumn id="2" xr3:uid="{65AB0986-0D0A-418D-B9FA-A7FF4A755DFD}" name="Nível de Instrução" dataDxfId="26" dataCellStyle="Porcentagem">
      <calculatedColumnFormula>SUM('Nível de instrução'!G2:I2)</calculatedColumnFormula>
    </tableColumn>
    <tableColumn id="3" xr3:uid="{B290D336-FD43-4A31-9BBB-3828227F10FE}" name="Condição de Moradia" dataDxfId="25" dataCellStyle="Porcentagem">
      <calculatedColumnFormula>SUM('Condição de moradia'!C2:D2)</calculatedColumnFormula>
    </tableColumn>
    <tableColumn id="4" xr3:uid="{E250DB54-C7CF-4DDF-9CF2-71B7583B054A}" name="Acesso à Esgoto" dataDxfId="24" dataCellStyle="Porcentagem">
      <calculatedColumnFormula>SUM('Acesso a esgoto'!C2:E2)</calculatedColumnFormula>
    </tableColumn>
    <tableColumn id="5" xr3:uid="{485D113A-78EF-49B4-9632-6C28A5385F58}" name="Abastecimento de Água" dataDxfId="23" dataCellStyle="Porcentagem">
      <calculatedColumnFormula>SUM('Acesso ao abastecimento de água'!C2:E2)</calculatedColumnFormula>
    </tableColumn>
    <tableColumn id="6" xr3:uid="{018E8ACD-252A-43EA-AD98-AB2F60DDFABF}" name="Renda Média" dataDxfId="22" dataCellStyle="Moed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A373-2F97-44E0-958F-0BBBA29544DF}">
  <sheetPr codeName="Planilha1"/>
  <dimension ref="A1:C28"/>
  <sheetViews>
    <sheetView workbookViewId="0">
      <selection activeCell="B13" sqref="B13"/>
    </sheetView>
  </sheetViews>
  <sheetFormatPr defaultRowHeight="15" x14ac:dyDescent="0.25"/>
  <cols>
    <col min="1" max="1" width="9.7109375" bestFit="1" customWidth="1"/>
    <col min="2" max="2" width="19.28515625" bestFit="1" customWidth="1"/>
    <col min="3" max="3" width="13.140625" bestFit="1" customWidth="1"/>
  </cols>
  <sheetData>
    <row r="1" spans="1:3" ht="15.75" thickBot="1" x14ac:dyDescent="0.3">
      <c r="A1" s="4" t="s">
        <v>34</v>
      </c>
      <c r="B1" s="4" t="s">
        <v>33</v>
      </c>
      <c r="C1" s="4" t="s">
        <v>32</v>
      </c>
    </row>
    <row r="2" spans="1:3" x14ac:dyDescent="0.25">
      <c r="A2" s="3">
        <v>1</v>
      </c>
      <c r="B2" s="3" t="s">
        <v>2</v>
      </c>
      <c r="C2" s="3" t="s">
        <v>0</v>
      </c>
    </row>
    <row r="3" spans="1:3" x14ac:dyDescent="0.25">
      <c r="A3" s="3">
        <v>2</v>
      </c>
      <c r="B3" s="3" t="s">
        <v>15</v>
      </c>
      <c r="C3" s="2" t="s">
        <v>8</v>
      </c>
    </row>
    <row r="4" spans="1:3" x14ac:dyDescent="0.25">
      <c r="A4" s="3">
        <v>3</v>
      </c>
      <c r="B4" s="3" t="s">
        <v>6</v>
      </c>
      <c r="C4" s="2" t="s">
        <v>0</v>
      </c>
    </row>
    <row r="5" spans="1:3" x14ac:dyDescent="0.25">
      <c r="A5" s="3">
        <v>4</v>
      </c>
      <c r="B5" s="3" t="s">
        <v>3</v>
      </c>
      <c r="C5" s="2" t="s">
        <v>0</v>
      </c>
    </row>
    <row r="6" spans="1:3" x14ac:dyDescent="0.25">
      <c r="A6" s="3">
        <v>5</v>
      </c>
      <c r="B6" s="3" t="s">
        <v>17</v>
      </c>
      <c r="C6" s="2" t="s">
        <v>8</v>
      </c>
    </row>
    <row r="7" spans="1:3" x14ac:dyDescent="0.25">
      <c r="A7" s="3">
        <v>6</v>
      </c>
      <c r="B7" s="3" t="s">
        <v>11</v>
      </c>
      <c r="C7" s="2" t="s">
        <v>8</v>
      </c>
    </row>
    <row r="8" spans="1:3" x14ac:dyDescent="0.25">
      <c r="A8" s="3">
        <v>7</v>
      </c>
      <c r="B8" s="3" t="s">
        <v>31</v>
      </c>
      <c r="C8" s="2" t="s">
        <v>27</v>
      </c>
    </row>
    <row r="9" spans="1:3" x14ac:dyDescent="0.25">
      <c r="A9" s="3">
        <v>8</v>
      </c>
      <c r="B9" s="3" t="s">
        <v>20</v>
      </c>
      <c r="C9" s="2" t="s">
        <v>18</v>
      </c>
    </row>
    <row r="10" spans="1:3" x14ac:dyDescent="0.25">
      <c r="A10" s="3">
        <v>9</v>
      </c>
      <c r="B10" s="3" t="s">
        <v>30</v>
      </c>
      <c r="C10" s="2" t="s">
        <v>27</v>
      </c>
    </row>
    <row r="11" spans="1:3" x14ac:dyDescent="0.25">
      <c r="A11" s="3">
        <v>10</v>
      </c>
      <c r="B11" s="3" t="s">
        <v>9</v>
      </c>
      <c r="C11" s="2" t="s">
        <v>8</v>
      </c>
    </row>
    <row r="12" spans="1:3" x14ac:dyDescent="0.25">
      <c r="A12" s="3">
        <v>11</v>
      </c>
      <c r="B12" s="3" t="s">
        <v>29</v>
      </c>
      <c r="C12" s="2" t="s">
        <v>27</v>
      </c>
    </row>
    <row r="13" spans="1:3" x14ac:dyDescent="0.25">
      <c r="A13" s="3">
        <v>12</v>
      </c>
      <c r="B13" s="3" t="s">
        <v>28</v>
      </c>
      <c r="C13" s="2" t="s">
        <v>27</v>
      </c>
    </row>
    <row r="14" spans="1:3" x14ac:dyDescent="0.25">
      <c r="A14" s="3">
        <v>13</v>
      </c>
      <c r="B14" s="3" t="s">
        <v>19</v>
      </c>
      <c r="C14" s="2" t="s">
        <v>18</v>
      </c>
    </row>
    <row r="15" spans="1:3" x14ac:dyDescent="0.25">
      <c r="A15" s="3">
        <v>14</v>
      </c>
      <c r="B15" s="3" t="s">
        <v>5</v>
      </c>
      <c r="C15" s="2" t="s">
        <v>0</v>
      </c>
    </row>
    <row r="16" spans="1:3" x14ac:dyDescent="0.25">
      <c r="A16" s="3">
        <v>15</v>
      </c>
      <c r="B16" s="3" t="s">
        <v>13</v>
      </c>
      <c r="C16" s="2" t="s">
        <v>8</v>
      </c>
    </row>
    <row r="17" spans="1:3" x14ac:dyDescent="0.25">
      <c r="A17" s="3">
        <v>16</v>
      </c>
      <c r="B17" s="3" t="s">
        <v>24</v>
      </c>
      <c r="C17" s="2" t="s">
        <v>23</v>
      </c>
    </row>
    <row r="18" spans="1:3" x14ac:dyDescent="0.25">
      <c r="A18" s="3">
        <v>17</v>
      </c>
      <c r="B18" s="3" t="s">
        <v>14</v>
      </c>
      <c r="C18" s="2" t="s">
        <v>8</v>
      </c>
    </row>
    <row r="19" spans="1:3" x14ac:dyDescent="0.25">
      <c r="A19" s="3">
        <v>18</v>
      </c>
      <c r="B19" s="3" t="s">
        <v>10</v>
      </c>
      <c r="C19" s="2" t="s">
        <v>8</v>
      </c>
    </row>
    <row r="20" spans="1:3" x14ac:dyDescent="0.25">
      <c r="A20" s="3">
        <v>19</v>
      </c>
      <c r="B20" s="3" t="s">
        <v>21</v>
      </c>
      <c r="C20" s="2" t="s">
        <v>18</v>
      </c>
    </row>
    <row r="21" spans="1:3" x14ac:dyDescent="0.25">
      <c r="A21" s="3">
        <v>20</v>
      </c>
      <c r="B21" s="3" t="s">
        <v>12</v>
      </c>
      <c r="C21" s="2" t="s">
        <v>8</v>
      </c>
    </row>
    <row r="22" spans="1:3" x14ac:dyDescent="0.25">
      <c r="A22" s="3">
        <v>21</v>
      </c>
      <c r="B22" s="3" t="s">
        <v>26</v>
      </c>
      <c r="C22" s="2" t="s">
        <v>23</v>
      </c>
    </row>
    <row r="23" spans="1:3" x14ac:dyDescent="0.25">
      <c r="A23" s="3">
        <v>22</v>
      </c>
      <c r="B23" s="3" t="s">
        <v>1</v>
      </c>
      <c r="C23" s="2" t="s">
        <v>0</v>
      </c>
    </row>
    <row r="24" spans="1:3" x14ac:dyDescent="0.25">
      <c r="A24" s="3">
        <v>23</v>
      </c>
      <c r="B24" s="3" t="s">
        <v>4</v>
      </c>
      <c r="C24" s="2" t="s">
        <v>0</v>
      </c>
    </row>
    <row r="25" spans="1:3" x14ac:dyDescent="0.25">
      <c r="A25" s="3">
        <v>24</v>
      </c>
      <c r="B25" s="3" t="s">
        <v>25</v>
      </c>
      <c r="C25" s="2" t="s">
        <v>23</v>
      </c>
    </row>
    <row r="26" spans="1:3" x14ac:dyDescent="0.25">
      <c r="A26" s="3">
        <v>25</v>
      </c>
      <c r="B26" s="3" t="s">
        <v>22</v>
      </c>
      <c r="C26" s="2" t="s">
        <v>18</v>
      </c>
    </row>
    <row r="27" spans="1:3" x14ac:dyDescent="0.25">
      <c r="A27" s="3">
        <v>26</v>
      </c>
      <c r="B27" s="3" t="s">
        <v>16</v>
      </c>
      <c r="C27" s="2" t="s">
        <v>8</v>
      </c>
    </row>
    <row r="28" spans="1:3" x14ac:dyDescent="0.25">
      <c r="A28" s="3">
        <v>27</v>
      </c>
      <c r="B28" s="3" t="s">
        <v>7</v>
      </c>
      <c r="C28" s="2" t="s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ED1E-298B-418F-B4A2-F21EAA757C8C}">
  <sheetPr codeName="Planilha2"/>
  <dimension ref="A1:B28"/>
  <sheetViews>
    <sheetView workbookViewId="0">
      <selection activeCell="DB17" sqref="DB17:DR19"/>
    </sheetView>
  </sheetViews>
  <sheetFormatPr defaultRowHeight="15" x14ac:dyDescent="0.25"/>
  <cols>
    <col min="1" max="1" width="19.28515625" bestFit="1" customWidth="1"/>
    <col min="2" max="3" width="13.140625" bestFit="1" customWidth="1"/>
  </cols>
  <sheetData>
    <row r="1" spans="1:2" x14ac:dyDescent="0.25">
      <c r="A1" t="s">
        <v>33</v>
      </c>
      <c r="B1" t="s">
        <v>32</v>
      </c>
    </row>
    <row r="2" spans="1:2" x14ac:dyDescent="0.25">
      <c r="A2" s="1" t="s">
        <v>2</v>
      </c>
      <c r="B2" s="1" t="s">
        <v>0</v>
      </c>
    </row>
    <row r="3" spans="1:2" x14ac:dyDescent="0.25">
      <c r="A3" s="1" t="s">
        <v>15</v>
      </c>
      <c r="B3" s="1" t="s">
        <v>8</v>
      </c>
    </row>
    <row r="4" spans="1:2" x14ac:dyDescent="0.25">
      <c r="A4" s="1" t="s">
        <v>6</v>
      </c>
      <c r="B4" s="1" t="s">
        <v>0</v>
      </c>
    </row>
    <row r="5" spans="1:2" x14ac:dyDescent="0.25">
      <c r="A5" s="1" t="s">
        <v>3</v>
      </c>
      <c r="B5" s="1" t="s">
        <v>0</v>
      </c>
    </row>
    <row r="6" spans="1:2" x14ac:dyDescent="0.25">
      <c r="A6" s="1" t="s">
        <v>17</v>
      </c>
      <c r="B6" s="1" t="s">
        <v>8</v>
      </c>
    </row>
    <row r="7" spans="1:2" x14ac:dyDescent="0.25">
      <c r="A7" s="1" t="s">
        <v>11</v>
      </c>
      <c r="B7" s="1" t="s">
        <v>8</v>
      </c>
    </row>
    <row r="8" spans="1:2" x14ac:dyDescent="0.25">
      <c r="A8" s="1" t="s">
        <v>31</v>
      </c>
      <c r="B8" s="1" t="s">
        <v>27</v>
      </c>
    </row>
    <row r="9" spans="1:2" x14ac:dyDescent="0.25">
      <c r="A9" s="1" t="s">
        <v>20</v>
      </c>
      <c r="B9" s="1" t="s">
        <v>18</v>
      </c>
    </row>
    <row r="10" spans="1:2" x14ac:dyDescent="0.25">
      <c r="A10" s="1" t="s">
        <v>30</v>
      </c>
      <c r="B10" s="1" t="s">
        <v>27</v>
      </c>
    </row>
    <row r="11" spans="1:2" x14ac:dyDescent="0.25">
      <c r="A11" s="1" t="s">
        <v>9</v>
      </c>
      <c r="B11" s="1" t="s">
        <v>8</v>
      </c>
    </row>
    <row r="12" spans="1:2" x14ac:dyDescent="0.25">
      <c r="A12" s="1" t="s">
        <v>29</v>
      </c>
      <c r="B12" s="1" t="s">
        <v>27</v>
      </c>
    </row>
    <row r="13" spans="1:2" x14ac:dyDescent="0.25">
      <c r="A13" s="1" t="s">
        <v>28</v>
      </c>
      <c r="B13" s="1" t="s">
        <v>27</v>
      </c>
    </row>
    <row r="14" spans="1:2" x14ac:dyDescent="0.25">
      <c r="A14" s="1" t="s">
        <v>19</v>
      </c>
      <c r="B14" s="1" t="s">
        <v>18</v>
      </c>
    </row>
    <row r="15" spans="1:2" x14ac:dyDescent="0.25">
      <c r="A15" s="1" t="s">
        <v>5</v>
      </c>
      <c r="B15" s="1" t="s">
        <v>0</v>
      </c>
    </row>
    <row r="16" spans="1:2" x14ac:dyDescent="0.25">
      <c r="A16" s="1" t="s">
        <v>13</v>
      </c>
      <c r="B16" s="1" t="s">
        <v>8</v>
      </c>
    </row>
    <row r="17" spans="1:2" x14ac:dyDescent="0.25">
      <c r="A17" s="1" t="s">
        <v>24</v>
      </c>
      <c r="B17" s="1" t="s">
        <v>23</v>
      </c>
    </row>
    <row r="18" spans="1:2" x14ac:dyDescent="0.25">
      <c r="A18" s="1" t="s">
        <v>14</v>
      </c>
      <c r="B18" s="1" t="s">
        <v>8</v>
      </c>
    </row>
    <row r="19" spans="1:2" x14ac:dyDescent="0.25">
      <c r="A19" s="1" t="s">
        <v>10</v>
      </c>
      <c r="B19" s="1" t="s">
        <v>8</v>
      </c>
    </row>
    <row r="20" spans="1:2" x14ac:dyDescent="0.25">
      <c r="A20" s="1" t="s">
        <v>21</v>
      </c>
      <c r="B20" s="1" t="s">
        <v>18</v>
      </c>
    </row>
    <row r="21" spans="1:2" x14ac:dyDescent="0.25">
      <c r="A21" s="1" t="s">
        <v>12</v>
      </c>
      <c r="B21" s="1" t="s">
        <v>8</v>
      </c>
    </row>
    <row r="22" spans="1:2" x14ac:dyDescent="0.25">
      <c r="A22" s="1" t="s">
        <v>26</v>
      </c>
      <c r="B22" s="1" t="s">
        <v>23</v>
      </c>
    </row>
    <row r="23" spans="1:2" x14ac:dyDescent="0.25">
      <c r="A23" s="1" t="s">
        <v>1</v>
      </c>
      <c r="B23" s="1" t="s">
        <v>0</v>
      </c>
    </row>
    <row r="24" spans="1:2" x14ac:dyDescent="0.25">
      <c r="A24" s="1" t="s">
        <v>4</v>
      </c>
      <c r="B24" s="1" t="s">
        <v>0</v>
      </c>
    </row>
    <row r="25" spans="1:2" x14ac:dyDescent="0.25">
      <c r="A25" s="1" t="s">
        <v>25</v>
      </c>
      <c r="B25" s="1" t="s">
        <v>23</v>
      </c>
    </row>
    <row r="26" spans="1:2" x14ac:dyDescent="0.25">
      <c r="A26" s="1" t="s">
        <v>22</v>
      </c>
      <c r="B26" s="1" t="s">
        <v>18</v>
      </c>
    </row>
    <row r="27" spans="1:2" x14ac:dyDescent="0.25">
      <c r="A27" s="1" t="s">
        <v>16</v>
      </c>
      <c r="B27" s="1" t="s">
        <v>8</v>
      </c>
    </row>
    <row r="28" spans="1:2" x14ac:dyDescent="0.25">
      <c r="A28" s="1" t="s">
        <v>7</v>
      </c>
      <c r="B28" s="1" t="s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8DE8-6A72-4DF3-9FCB-DEBFF6C384C5}">
  <sheetPr codeName="Planilha3"/>
  <dimension ref="A1:I28"/>
  <sheetViews>
    <sheetView workbookViewId="0">
      <selection activeCell="DB17" sqref="DB17:DR19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15.85546875" bestFit="1" customWidth="1"/>
    <col min="4" max="4" width="32.28515625" bestFit="1" customWidth="1"/>
    <col min="5" max="5" width="30.42578125" bestFit="1" customWidth="1"/>
    <col min="6" max="6" width="26.28515625" bestFit="1" customWidth="1"/>
    <col min="7" max="7" width="24.5703125" bestFit="1" customWidth="1"/>
    <col min="8" max="8" width="28.140625" bestFit="1" customWidth="1"/>
    <col min="9" max="9" width="26.28515625" bestFit="1" customWidth="1"/>
    <col min="10" max="10" width="28.140625" bestFit="1" customWidth="1"/>
    <col min="11" max="11" width="26.28515625" bestFit="1" customWidth="1"/>
  </cols>
  <sheetData>
    <row r="1" spans="1:9" x14ac:dyDescent="0.25">
      <c r="A1" t="s">
        <v>32</v>
      </c>
      <c r="B1" t="s">
        <v>33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5">
      <c r="A2" s="1" t="s">
        <v>0</v>
      </c>
      <c r="B2" s="1" t="s">
        <v>2</v>
      </c>
      <c r="C2">
        <v>0.106</v>
      </c>
      <c r="D2">
        <v>0.27400000000000002</v>
      </c>
      <c r="E2">
        <v>0.06</v>
      </c>
      <c r="F2">
        <v>5.1999999999999998E-2</v>
      </c>
      <c r="G2">
        <v>0.26600000000000001</v>
      </c>
      <c r="H2">
        <v>3.9E-2</v>
      </c>
      <c r="I2">
        <v>0.20300000000000001</v>
      </c>
    </row>
    <row r="3" spans="1:9" x14ac:dyDescent="0.25">
      <c r="A3" s="1" t="s">
        <v>8</v>
      </c>
      <c r="B3" s="1" t="s">
        <v>15</v>
      </c>
      <c r="C3">
        <v>0.125</v>
      </c>
      <c r="D3">
        <v>0.35199999999999998</v>
      </c>
      <c r="E3">
        <v>6.5000000000000002E-2</v>
      </c>
      <c r="F3">
        <v>5.2999999999999999E-2</v>
      </c>
      <c r="G3">
        <v>0.24</v>
      </c>
      <c r="H3">
        <v>3.5999999999999997E-2</v>
      </c>
      <c r="I3">
        <v>0.129</v>
      </c>
    </row>
    <row r="4" spans="1:9" x14ac:dyDescent="0.25">
      <c r="A4" s="1" t="s">
        <v>0</v>
      </c>
      <c r="B4" s="1" t="s">
        <v>6</v>
      </c>
      <c r="C4">
        <v>7.3999999999999996E-2</v>
      </c>
      <c r="D4">
        <v>0.21099999999999999</v>
      </c>
      <c r="E4">
        <v>6.2E-2</v>
      </c>
      <c r="F4">
        <v>4.8000000000000001E-2</v>
      </c>
      <c r="G4">
        <v>0.33100000000000002</v>
      </c>
      <c r="H4">
        <v>5.7000000000000002E-2</v>
      </c>
      <c r="I4">
        <v>0.217</v>
      </c>
    </row>
    <row r="5" spans="1:9" x14ac:dyDescent="0.25">
      <c r="A5" s="1" t="s">
        <v>0</v>
      </c>
      <c r="B5" s="1" t="s">
        <v>3</v>
      </c>
      <c r="C5">
        <v>0.06</v>
      </c>
      <c r="D5">
        <v>0.248</v>
      </c>
      <c r="E5">
        <v>6.7000000000000004E-2</v>
      </c>
      <c r="F5">
        <v>4.7E-2</v>
      </c>
      <c r="G5">
        <v>0.36199999999999999</v>
      </c>
      <c r="H5">
        <v>0.05</v>
      </c>
      <c r="I5">
        <v>0.16600000000000001</v>
      </c>
    </row>
    <row r="6" spans="1:9" x14ac:dyDescent="0.25">
      <c r="A6" s="1" t="s">
        <v>8</v>
      </c>
      <c r="B6" s="1" t="s">
        <v>17</v>
      </c>
      <c r="C6">
        <v>0.12</v>
      </c>
      <c r="D6">
        <v>0.311</v>
      </c>
      <c r="E6">
        <v>5.3999999999999999E-2</v>
      </c>
      <c r="F6">
        <v>5.8000000000000003E-2</v>
      </c>
      <c r="G6">
        <v>0.31</v>
      </c>
      <c r="H6">
        <v>2.8000000000000001E-2</v>
      </c>
      <c r="I6">
        <v>0.11899999999999999</v>
      </c>
    </row>
    <row r="7" spans="1:9" x14ac:dyDescent="0.25">
      <c r="A7" s="1" t="s">
        <v>8</v>
      </c>
      <c r="B7" s="1" t="s">
        <v>11</v>
      </c>
      <c r="C7">
        <v>0.121</v>
      </c>
      <c r="D7">
        <v>0.30299999999999999</v>
      </c>
      <c r="E7">
        <v>8.1000000000000003E-2</v>
      </c>
      <c r="F7">
        <v>5.2999999999999999E-2</v>
      </c>
      <c r="G7">
        <v>0.28100000000000003</v>
      </c>
      <c r="H7">
        <v>3.4000000000000002E-2</v>
      </c>
      <c r="I7">
        <v>0.127</v>
      </c>
    </row>
    <row r="8" spans="1:9" x14ac:dyDescent="0.25">
      <c r="A8" s="1" t="s">
        <v>27</v>
      </c>
      <c r="B8" s="1" t="s">
        <v>31</v>
      </c>
      <c r="C8">
        <v>2.4E-2</v>
      </c>
      <c r="D8">
        <v>0.16800000000000001</v>
      </c>
      <c r="E8">
        <v>5.5E-2</v>
      </c>
      <c r="F8">
        <v>0.04</v>
      </c>
      <c r="G8">
        <v>0.28499999999999998</v>
      </c>
      <c r="H8">
        <v>5.8000000000000003E-2</v>
      </c>
      <c r="I8">
        <v>0.37</v>
      </c>
    </row>
    <row r="9" spans="1:9" x14ac:dyDescent="0.25">
      <c r="A9" s="1" t="s">
        <v>18</v>
      </c>
      <c r="B9" s="1" t="s">
        <v>20</v>
      </c>
      <c r="C9">
        <v>5.0999999999999997E-2</v>
      </c>
      <c r="D9">
        <v>0.29199999999999998</v>
      </c>
      <c r="E9">
        <v>8.3000000000000004E-2</v>
      </c>
      <c r="F9">
        <v>5.1999999999999998E-2</v>
      </c>
      <c r="G9">
        <v>0.29699999999999999</v>
      </c>
      <c r="H9">
        <v>3.9E-2</v>
      </c>
      <c r="I9">
        <v>0.185</v>
      </c>
    </row>
    <row r="10" spans="1:9" x14ac:dyDescent="0.25">
      <c r="A10" s="1" t="s">
        <v>27</v>
      </c>
      <c r="B10" s="1" t="s">
        <v>30</v>
      </c>
      <c r="C10">
        <v>5.8999999999999997E-2</v>
      </c>
      <c r="D10">
        <v>0.28499999999999998</v>
      </c>
      <c r="E10">
        <v>7.5999999999999998E-2</v>
      </c>
      <c r="F10">
        <v>6.0999999999999999E-2</v>
      </c>
      <c r="G10">
        <v>0.29099999999999998</v>
      </c>
      <c r="H10">
        <v>4.2999999999999997E-2</v>
      </c>
      <c r="I10">
        <v>0.184</v>
      </c>
    </row>
    <row r="11" spans="1:9" x14ac:dyDescent="0.25">
      <c r="A11" s="1" t="s">
        <v>8</v>
      </c>
      <c r="B11" s="1" t="s">
        <v>9</v>
      </c>
      <c r="C11">
        <v>0.128</v>
      </c>
      <c r="D11">
        <v>0.314</v>
      </c>
      <c r="E11">
        <v>7.6999999999999999E-2</v>
      </c>
      <c r="F11">
        <v>5.2999999999999999E-2</v>
      </c>
      <c r="G11">
        <v>0.28699999999999998</v>
      </c>
      <c r="H11">
        <v>2.7E-2</v>
      </c>
      <c r="I11">
        <v>0.114</v>
      </c>
    </row>
    <row r="12" spans="1:9" x14ac:dyDescent="0.25">
      <c r="A12" s="1" t="s">
        <v>27</v>
      </c>
      <c r="B12" s="1" t="s">
        <v>29</v>
      </c>
      <c r="C12">
        <v>6.8000000000000005E-2</v>
      </c>
      <c r="D12">
        <v>0.28299999999999997</v>
      </c>
      <c r="E12">
        <v>7.2999999999999995E-2</v>
      </c>
      <c r="F12">
        <v>7.0000000000000007E-2</v>
      </c>
      <c r="G12">
        <v>0.28299999999999997</v>
      </c>
      <c r="H12">
        <v>4.5999999999999999E-2</v>
      </c>
      <c r="I12">
        <v>0.17699999999999999</v>
      </c>
    </row>
    <row r="13" spans="1:9" x14ac:dyDescent="0.25">
      <c r="A13" s="1" t="s">
        <v>27</v>
      </c>
      <c r="B13" s="1" t="s">
        <v>28</v>
      </c>
      <c r="C13">
        <v>4.8000000000000001E-2</v>
      </c>
      <c r="D13">
        <v>0.28799999999999998</v>
      </c>
      <c r="E13">
        <v>7.5999999999999998E-2</v>
      </c>
      <c r="F13">
        <v>5.3999999999999999E-2</v>
      </c>
      <c r="G13">
        <v>0.27300000000000002</v>
      </c>
      <c r="H13">
        <v>4.8000000000000001E-2</v>
      </c>
      <c r="I13">
        <v>0.21199999999999999</v>
      </c>
    </row>
    <row r="14" spans="1:9" x14ac:dyDescent="0.25">
      <c r="A14" s="1" t="s">
        <v>18</v>
      </c>
      <c r="B14" s="1" t="s">
        <v>19</v>
      </c>
      <c r="C14">
        <v>0.04</v>
      </c>
      <c r="D14">
        <v>0.34200000000000003</v>
      </c>
      <c r="E14">
        <v>7.6999999999999999E-2</v>
      </c>
      <c r="F14">
        <v>0.05</v>
      </c>
      <c r="G14">
        <v>0.28100000000000003</v>
      </c>
      <c r="H14">
        <v>3.5999999999999997E-2</v>
      </c>
      <c r="I14">
        <v>0.17399999999999999</v>
      </c>
    </row>
    <row r="15" spans="1:9" x14ac:dyDescent="0.25">
      <c r="A15" s="1" t="s">
        <v>0</v>
      </c>
      <c r="B15" s="1" t="s">
        <v>5</v>
      </c>
      <c r="C15">
        <v>7.2999999999999995E-2</v>
      </c>
      <c r="D15">
        <v>0.34899999999999998</v>
      </c>
      <c r="E15">
        <v>7.0000000000000007E-2</v>
      </c>
      <c r="F15">
        <v>6.5000000000000002E-2</v>
      </c>
      <c r="G15">
        <v>0.28000000000000003</v>
      </c>
      <c r="H15">
        <v>3.4000000000000002E-2</v>
      </c>
      <c r="I15">
        <v>0.13</v>
      </c>
    </row>
    <row r="16" spans="1:9" x14ac:dyDescent="0.25">
      <c r="A16" s="1" t="s">
        <v>8</v>
      </c>
      <c r="B16" s="1" t="s">
        <v>13</v>
      </c>
      <c r="C16">
        <v>0.126</v>
      </c>
      <c r="D16">
        <v>0.36699999999999999</v>
      </c>
      <c r="E16">
        <v>0.06</v>
      </c>
      <c r="F16">
        <v>0.05</v>
      </c>
      <c r="G16">
        <v>0.24099999999999999</v>
      </c>
      <c r="H16">
        <v>2.8000000000000001E-2</v>
      </c>
      <c r="I16">
        <v>0.127</v>
      </c>
    </row>
    <row r="17" spans="1:9" x14ac:dyDescent="0.25">
      <c r="A17" s="1" t="s">
        <v>23</v>
      </c>
      <c r="B17" s="1" t="s">
        <v>24</v>
      </c>
      <c r="C17">
        <v>4.8000000000000001E-2</v>
      </c>
      <c r="D17">
        <v>0.29499999999999998</v>
      </c>
      <c r="E17">
        <v>9.0999999999999998E-2</v>
      </c>
      <c r="F17">
        <v>4.9000000000000002E-2</v>
      </c>
      <c r="G17">
        <v>0.27700000000000002</v>
      </c>
      <c r="H17">
        <v>3.5999999999999997E-2</v>
      </c>
      <c r="I17">
        <v>0.20399999999999999</v>
      </c>
    </row>
    <row r="18" spans="1:9" x14ac:dyDescent="0.25">
      <c r="A18" s="1" t="s">
        <v>8</v>
      </c>
      <c r="B18" s="1" t="s">
        <v>14</v>
      </c>
      <c r="C18">
        <v>0.109</v>
      </c>
      <c r="D18">
        <v>0.312</v>
      </c>
      <c r="E18">
        <v>7.0000000000000007E-2</v>
      </c>
      <c r="F18">
        <v>4.3999999999999997E-2</v>
      </c>
      <c r="G18">
        <v>0.308</v>
      </c>
      <c r="H18">
        <v>2.8000000000000001E-2</v>
      </c>
      <c r="I18">
        <v>0.129</v>
      </c>
    </row>
    <row r="19" spans="1:9" x14ac:dyDescent="0.25">
      <c r="A19" s="1" t="s">
        <v>8</v>
      </c>
      <c r="B19" s="1" t="s">
        <v>10</v>
      </c>
      <c r="C19">
        <v>0.13500000000000001</v>
      </c>
      <c r="D19">
        <v>0.35299999999999998</v>
      </c>
      <c r="E19">
        <v>6.2E-2</v>
      </c>
      <c r="F19">
        <v>5.0999999999999997E-2</v>
      </c>
      <c r="G19">
        <v>0.218</v>
      </c>
      <c r="H19">
        <v>2.5000000000000001E-2</v>
      </c>
      <c r="I19">
        <v>0.157</v>
      </c>
    </row>
    <row r="20" spans="1:9" x14ac:dyDescent="0.25">
      <c r="A20" s="1" t="s">
        <v>18</v>
      </c>
      <c r="B20" s="1" t="s">
        <v>21</v>
      </c>
      <c r="C20">
        <v>3.4000000000000002E-2</v>
      </c>
      <c r="D20">
        <v>0.20300000000000001</v>
      </c>
      <c r="E20">
        <v>8.5999999999999993E-2</v>
      </c>
      <c r="F20">
        <v>4.5999999999999999E-2</v>
      </c>
      <c r="G20">
        <v>0.33200000000000002</v>
      </c>
      <c r="H20">
        <v>5.7000000000000002E-2</v>
      </c>
      <c r="I20">
        <v>0.24199999999999999</v>
      </c>
    </row>
    <row r="21" spans="1:9" x14ac:dyDescent="0.25">
      <c r="A21" s="1" t="s">
        <v>8</v>
      </c>
      <c r="B21" s="1" t="s">
        <v>12</v>
      </c>
      <c r="C21">
        <v>8.6999999999999994E-2</v>
      </c>
      <c r="D21">
        <v>0.32600000000000001</v>
      </c>
      <c r="E21">
        <v>6.9000000000000006E-2</v>
      </c>
      <c r="F21">
        <v>6.3E-2</v>
      </c>
      <c r="G21">
        <v>0.26900000000000002</v>
      </c>
      <c r="H21">
        <v>3.5999999999999997E-2</v>
      </c>
      <c r="I21">
        <v>0.151</v>
      </c>
    </row>
    <row r="22" spans="1:9" x14ac:dyDescent="0.25">
      <c r="A22" s="1" t="s">
        <v>23</v>
      </c>
      <c r="B22" s="1" t="s">
        <v>26</v>
      </c>
      <c r="C22">
        <v>2.3E-2</v>
      </c>
      <c r="D22">
        <v>0.312</v>
      </c>
      <c r="E22">
        <v>9.9000000000000005E-2</v>
      </c>
      <c r="F22">
        <v>5.1999999999999998E-2</v>
      </c>
      <c r="G22">
        <v>0.25800000000000001</v>
      </c>
      <c r="H22">
        <v>0.06</v>
      </c>
      <c r="I22">
        <v>0.19600000000000001</v>
      </c>
    </row>
    <row r="23" spans="1:9" x14ac:dyDescent="0.25">
      <c r="A23" s="1" t="s">
        <v>0</v>
      </c>
      <c r="B23" s="1" t="s">
        <v>1</v>
      </c>
      <c r="C23">
        <v>7.3999999999999996E-2</v>
      </c>
      <c r="D23">
        <v>0.33900000000000002</v>
      </c>
      <c r="E23">
        <v>7.0000000000000007E-2</v>
      </c>
      <c r="F23">
        <v>5.2999999999999999E-2</v>
      </c>
      <c r="G23">
        <v>0.26500000000000001</v>
      </c>
      <c r="H23">
        <v>3.3000000000000002E-2</v>
      </c>
      <c r="I23">
        <v>0.16500000000000001</v>
      </c>
    </row>
    <row r="24" spans="1:9" x14ac:dyDescent="0.25">
      <c r="A24" s="1" t="s">
        <v>0</v>
      </c>
      <c r="B24" s="1" t="s">
        <v>4</v>
      </c>
      <c r="C24">
        <v>5.8999999999999997E-2</v>
      </c>
      <c r="D24">
        <v>0.2</v>
      </c>
      <c r="E24">
        <v>6.5000000000000002E-2</v>
      </c>
      <c r="F24">
        <v>0.05</v>
      </c>
      <c r="G24">
        <v>0.379</v>
      </c>
      <c r="H24">
        <v>5.6000000000000001E-2</v>
      </c>
      <c r="I24">
        <v>0.191</v>
      </c>
    </row>
    <row r="25" spans="1:9" x14ac:dyDescent="0.25">
      <c r="A25" s="1" t="s">
        <v>23</v>
      </c>
      <c r="B25" s="1" t="s">
        <v>25</v>
      </c>
      <c r="C25">
        <v>0.03</v>
      </c>
      <c r="D25">
        <v>0.27700000000000002</v>
      </c>
      <c r="E25">
        <v>0.11</v>
      </c>
      <c r="F25">
        <v>4.4999999999999998E-2</v>
      </c>
      <c r="G25">
        <v>0.28699999999999998</v>
      </c>
      <c r="H25">
        <v>4.2999999999999997E-2</v>
      </c>
      <c r="I25">
        <v>0.20799999999999999</v>
      </c>
    </row>
    <row r="26" spans="1:9" x14ac:dyDescent="0.25">
      <c r="A26" s="1" t="s">
        <v>18</v>
      </c>
      <c r="B26" s="1" t="s">
        <v>22</v>
      </c>
      <c r="C26">
        <v>2.9000000000000001E-2</v>
      </c>
      <c r="D26">
        <v>0.219</v>
      </c>
      <c r="E26">
        <v>0.08</v>
      </c>
      <c r="F26">
        <v>4.3999999999999997E-2</v>
      </c>
      <c r="G26">
        <v>0.33500000000000002</v>
      </c>
      <c r="H26">
        <v>4.2999999999999997E-2</v>
      </c>
      <c r="I26">
        <v>0.25</v>
      </c>
    </row>
    <row r="27" spans="1:9" x14ac:dyDescent="0.25">
      <c r="A27" s="1" t="s">
        <v>8</v>
      </c>
      <c r="B27" s="1" t="s">
        <v>16</v>
      </c>
      <c r="C27">
        <v>9.9000000000000005E-2</v>
      </c>
      <c r="D27">
        <v>0.35299999999999998</v>
      </c>
      <c r="E27">
        <v>6.3E-2</v>
      </c>
      <c r="F27">
        <v>5.0999999999999997E-2</v>
      </c>
      <c r="G27">
        <v>0.26200000000000001</v>
      </c>
      <c r="H27">
        <v>4.2999999999999997E-2</v>
      </c>
      <c r="I27">
        <v>0.128</v>
      </c>
    </row>
    <row r="28" spans="1:9" x14ac:dyDescent="0.25">
      <c r="A28" s="1" t="s">
        <v>0</v>
      </c>
      <c r="B28" s="1" t="s">
        <v>7</v>
      </c>
      <c r="C28">
        <v>9.0999999999999998E-2</v>
      </c>
      <c r="D28">
        <v>0.28299999999999997</v>
      </c>
      <c r="E28">
        <v>5.0999999999999997E-2</v>
      </c>
      <c r="F28">
        <v>5.0999999999999997E-2</v>
      </c>
      <c r="G28">
        <v>0.28699999999999998</v>
      </c>
      <c r="H28">
        <v>4.2999999999999997E-2</v>
      </c>
      <c r="I28">
        <v>0.19500000000000001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79E9-6EC6-430C-B316-AA12DE386F7E}">
  <sheetPr codeName="Planilha4"/>
  <dimension ref="A1:I28"/>
  <sheetViews>
    <sheetView workbookViewId="0">
      <selection activeCell="E70" sqref="E70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18" bestFit="1" customWidth="1"/>
    <col min="4" max="4" width="19.140625" bestFit="1" customWidth="1"/>
    <col min="5" max="5" width="10.5703125" bestFit="1" customWidth="1"/>
    <col min="6" max="6" width="24.7109375" bestFit="1" customWidth="1"/>
    <col min="7" max="7" width="20.5703125" bestFit="1" customWidth="1"/>
    <col min="8" max="8" width="23.42578125" bestFit="1" customWidth="1"/>
    <col min="9" max="9" width="14" bestFit="1" customWidth="1"/>
  </cols>
  <sheetData>
    <row r="1" spans="1:9" x14ac:dyDescent="0.25">
      <c r="A1" t="s">
        <v>32</v>
      </c>
      <c r="B1" t="s">
        <v>33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36</v>
      </c>
    </row>
    <row r="2" spans="1:9" x14ac:dyDescent="0.25">
      <c r="A2" s="1" t="s">
        <v>0</v>
      </c>
      <c r="B2" s="1" t="s">
        <v>2</v>
      </c>
      <c r="C2" s="62">
        <v>0.79700000000000004</v>
      </c>
      <c r="D2" s="62">
        <v>6.0000000000000001E-3</v>
      </c>
      <c r="E2" s="62">
        <v>0.125</v>
      </c>
      <c r="F2" s="62">
        <v>1.6E-2</v>
      </c>
      <c r="G2" s="62">
        <v>4.8000000000000001E-2</v>
      </c>
      <c r="H2" s="62">
        <v>8.9999999999999993E-3</v>
      </c>
      <c r="I2" s="62">
        <v>0</v>
      </c>
    </row>
    <row r="3" spans="1:9" x14ac:dyDescent="0.25">
      <c r="A3" s="1" t="s">
        <v>8</v>
      </c>
      <c r="B3" s="1" t="s">
        <v>15</v>
      </c>
      <c r="C3" s="62">
        <v>0.67200000000000004</v>
      </c>
      <c r="D3" s="62">
        <v>4.2000000000000003E-2</v>
      </c>
      <c r="E3" s="62">
        <v>0.186</v>
      </c>
      <c r="F3" s="62">
        <v>1.7999999999999999E-2</v>
      </c>
      <c r="G3" s="62">
        <v>7.5999999999999998E-2</v>
      </c>
      <c r="H3" s="62">
        <v>5.0000000000000001E-3</v>
      </c>
      <c r="I3" s="62">
        <v>1E-3</v>
      </c>
    </row>
    <row r="4" spans="1:9" x14ac:dyDescent="0.25">
      <c r="A4" s="1" t="s">
        <v>0</v>
      </c>
      <c r="B4" s="1" t="s">
        <v>6</v>
      </c>
      <c r="C4" s="62">
        <v>0.82599999999999996</v>
      </c>
      <c r="D4" s="62">
        <v>7.0000000000000001E-3</v>
      </c>
      <c r="E4" s="62">
        <v>0.10299999999999999</v>
      </c>
      <c r="F4" s="62">
        <v>3.0000000000000001E-3</v>
      </c>
      <c r="G4" s="62">
        <v>4.9000000000000002E-2</v>
      </c>
      <c r="H4" s="62">
        <v>8.0000000000000002E-3</v>
      </c>
      <c r="I4" s="61">
        <v>4.0000000000000001E-3</v>
      </c>
    </row>
    <row r="5" spans="1:9" x14ac:dyDescent="0.25">
      <c r="A5" s="1" t="s">
        <v>0</v>
      </c>
      <c r="B5" s="1" t="s">
        <v>3</v>
      </c>
      <c r="C5" s="62">
        <v>0.77800000000000002</v>
      </c>
      <c r="D5" s="62">
        <v>2.8000000000000001E-2</v>
      </c>
      <c r="E5" s="62">
        <v>0.129</v>
      </c>
      <c r="F5" s="62">
        <v>7.0000000000000001E-3</v>
      </c>
      <c r="G5" s="62">
        <v>5.1999999999999998E-2</v>
      </c>
      <c r="H5" s="62">
        <v>4.0000000000000001E-3</v>
      </c>
      <c r="I5" s="62">
        <v>1E-3</v>
      </c>
    </row>
    <row r="6" spans="1:9" x14ac:dyDescent="0.25">
      <c r="A6" s="1" t="s">
        <v>8</v>
      </c>
      <c r="B6" s="1" t="s">
        <v>17</v>
      </c>
      <c r="C6" s="62">
        <v>0.75</v>
      </c>
      <c r="D6" s="62">
        <v>2.8000000000000001E-2</v>
      </c>
      <c r="E6" s="62">
        <v>0.14199999999999999</v>
      </c>
      <c r="F6" s="62">
        <v>1.2999999999999999E-2</v>
      </c>
      <c r="G6" s="62">
        <v>6.2E-2</v>
      </c>
      <c r="H6" s="62">
        <v>4.0000000000000001E-3</v>
      </c>
      <c r="I6" s="62">
        <v>1E-3</v>
      </c>
    </row>
    <row r="7" spans="1:9" x14ac:dyDescent="0.25">
      <c r="A7" s="1" t="s">
        <v>8</v>
      </c>
      <c r="B7" s="1" t="s">
        <v>11</v>
      </c>
      <c r="C7" s="62">
        <v>0.69399999999999995</v>
      </c>
      <c r="D7" s="62">
        <v>2.7E-2</v>
      </c>
      <c r="E7" s="62">
        <v>0.187</v>
      </c>
      <c r="F7" s="62">
        <v>0.01</v>
      </c>
      <c r="G7" s="62">
        <v>7.0000000000000007E-2</v>
      </c>
      <c r="H7" s="62">
        <v>1.0999999999999999E-2</v>
      </c>
      <c r="I7" s="62">
        <v>1E-3</v>
      </c>
    </row>
    <row r="8" spans="1:9" x14ac:dyDescent="0.25">
      <c r="A8" s="1" t="s">
        <v>27</v>
      </c>
      <c r="B8" s="1" t="s">
        <v>31</v>
      </c>
      <c r="C8" s="62">
        <v>0.47899999999999998</v>
      </c>
      <c r="D8" s="62">
        <v>7.0000000000000007E-2</v>
      </c>
      <c r="E8" s="62">
        <v>0.33100000000000002</v>
      </c>
      <c r="F8" s="62">
        <v>3.2000000000000001E-2</v>
      </c>
      <c r="G8" s="62">
        <v>0.08</v>
      </c>
      <c r="H8" s="62">
        <v>5.0000000000000001E-3</v>
      </c>
      <c r="I8" s="62">
        <v>2E-3</v>
      </c>
    </row>
    <row r="9" spans="1:9" x14ac:dyDescent="0.25">
      <c r="A9" s="1" t="s">
        <v>18</v>
      </c>
      <c r="B9" s="1" t="s">
        <v>20</v>
      </c>
      <c r="C9" s="62">
        <v>0.63600000000000001</v>
      </c>
      <c r="D9" s="62">
        <v>4.9000000000000002E-2</v>
      </c>
      <c r="E9" s="62">
        <v>0.21099999999999999</v>
      </c>
      <c r="F9" s="62">
        <v>2.4E-2</v>
      </c>
      <c r="G9" s="62">
        <v>6.8000000000000005E-2</v>
      </c>
      <c r="H9" s="62">
        <v>8.9999999999999993E-3</v>
      </c>
      <c r="I9" s="62">
        <v>3.0000000000000001E-3</v>
      </c>
    </row>
    <row r="10" spans="1:9" x14ac:dyDescent="0.25">
      <c r="A10" s="1" t="s">
        <v>27</v>
      </c>
      <c r="B10" s="1" t="s">
        <v>30</v>
      </c>
      <c r="C10" s="62">
        <v>0.5</v>
      </c>
      <c r="D10" s="62">
        <v>0.124</v>
      </c>
      <c r="E10" s="62">
        <v>0.26900000000000002</v>
      </c>
      <c r="F10" s="62">
        <v>2.5999999999999999E-2</v>
      </c>
      <c r="G10" s="62">
        <v>7.4999999999999997E-2</v>
      </c>
      <c r="H10" s="62">
        <v>5.0000000000000001E-3</v>
      </c>
      <c r="I10" s="62">
        <v>2E-3</v>
      </c>
    </row>
    <row r="11" spans="1:9" x14ac:dyDescent="0.25">
      <c r="A11" s="1" t="s">
        <v>8</v>
      </c>
      <c r="B11" s="1" t="s">
        <v>9</v>
      </c>
      <c r="C11" s="62">
        <v>0.81299999999999994</v>
      </c>
      <c r="D11" s="62">
        <v>0.02</v>
      </c>
      <c r="E11" s="62">
        <v>0.104</v>
      </c>
      <c r="F11" s="62">
        <v>6.0000000000000001E-3</v>
      </c>
      <c r="G11" s="62">
        <v>5.1999999999999998E-2</v>
      </c>
      <c r="H11" s="62">
        <v>6.0000000000000001E-3</v>
      </c>
      <c r="I11" s="62">
        <v>1E-3</v>
      </c>
    </row>
    <row r="12" spans="1:9" x14ac:dyDescent="0.25">
      <c r="A12" s="1" t="s">
        <v>27</v>
      </c>
      <c r="B12" s="1" t="s">
        <v>29</v>
      </c>
      <c r="C12" s="62">
        <v>0.59</v>
      </c>
      <c r="D12" s="62">
        <v>0.06</v>
      </c>
      <c r="E12" s="62">
        <v>0.252</v>
      </c>
      <c r="F12" s="62">
        <v>4.2000000000000003E-2</v>
      </c>
      <c r="G12" s="62">
        <v>4.8000000000000001E-2</v>
      </c>
      <c r="H12" s="62">
        <v>5.0000000000000001E-3</v>
      </c>
      <c r="I12" s="62">
        <v>3.0000000000000001E-3</v>
      </c>
    </row>
    <row r="13" spans="1:9" x14ac:dyDescent="0.25">
      <c r="A13" s="1" t="s">
        <v>27</v>
      </c>
      <c r="B13" s="1" t="s">
        <v>28</v>
      </c>
      <c r="C13" s="62">
        <v>0.51300000000000001</v>
      </c>
      <c r="D13" s="62">
        <v>0.126</v>
      </c>
      <c r="E13" s="62">
        <v>0.23200000000000001</v>
      </c>
      <c r="F13" s="62">
        <v>4.2000000000000003E-2</v>
      </c>
      <c r="G13" s="62">
        <v>7.3999999999999996E-2</v>
      </c>
      <c r="H13" s="62">
        <v>8.9999999999999993E-3</v>
      </c>
      <c r="I13" s="62">
        <v>4.0000000000000001E-3</v>
      </c>
    </row>
    <row r="14" spans="1:9" x14ac:dyDescent="0.25">
      <c r="A14" s="1" t="s">
        <v>18</v>
      </c>
      <c r="B14" s="1" t="s">
        <v>19</v>
      </c>
      <c r="C14" s="62">
        <v>0.63600000000000001</v>
      </c>
      <c r="D14" s="62">
        <v>6.4000000000000001E-2</v>
      </c>
      <c r="E14" s="62">
        <v>0.20100000000000001</v>
      </c>
      <c r="F14" s="62">
        <v>2.1999999999999999E-2</v>
      </c>
      <c r="G14" s="62">
        <v>6.9000000000000006E-2</v>
      </c>
      <c r="H14" s="62">
        <v>6.0000000000000001E-3</v>
      </c>
      <c r="I14" s="62">
        <v>2E-3</v>
      </c>
    </row>
    <row r="15" spans="1:9" x14ac:dyDescent="0.25">
      <c r="A15" s="1" t="s">
        <v>0</v>
      </c>
      <c r="B15" s="1" t="s">
        <v>5</v>
      </c>
      <c r="C15" s="62">
        <v>0.77700000000000002</v>
      </c>
      <c r="D15" s="62">
        <v>2.7E-2</v>
      </c>
      <c r="E15" s="62">
        <v>0.11700000000000001</v>
      </c>
      <c r="F15" s="62">
        <v>1.2999999999999999E-2</v>
      </c>
      <c r="G15" s="62">
        <v>6.0999999999999999E-2</v>
      </c>
      <c r="H15" s="62">
        <v>6.0000000000000001E-3</v>
      </c>
      <c r="I15" s="62">
        <v>0</v>
      </c>
    </row>
    <row r="16" spans="1:9" x14ac:dyDescent="0.25">
      <c r="A16" s="1" t="s">
        <v>8</v>
      </c>
      <c r="B16" s="1" t="s">
        <v>13</v>
      </c>
      <c r="C16" s="62">
        <v>0.66300000000000003</v>
      </c>
      <c r="D16" s="62">
        <v>5.7000000000000002E-2</v>
      </c>
      <c r="E16" s="62">
        <v>0.18</v>
      </c>
      <c r="F16" s="62">
        <v>0.01</v>
      </c>
      <c r="G16" s="62">
        <v>8.1000000000000003E-2</v>
      </c>
      <c r="H16" s="62">
        <v>5.0000000000000001E-3</v>
      </c>
      <c r="I16" s="62">
        <v>4.0000000000000001E-3</v>
      </c>
    </row>
    <row r="17" spans="1:9" x14ac:dyDescent="0.25">
      <c r="A17" s="1" t="s">
        <v>23</v>
      </c>
      <c r="B17" s="1" t="s">
        <v>24</v>
      </c>
      <c r="C17" s="62">
        <v>0.56899999999999995</v>
      </c>
      <c r="D17" s="62">
        <v>0.107</v>
      </c>
      <c r="E17" s="62">
        <v>0.23100000000000001</v>
      </c>
      <c r="F17" s="62">
        <v>2.1999999999999999E-2</v>
      </c>
      <c r="G17" s="62">
        <v>6.2E-2</v>
      </c>
      <c r="H17" s="62">
        <v>8.0000000000000002E-3</v>
      </c>
      <c r="I17" s="62">
        <v>2E-3</v>
      </c>
    </row>
    <row r="18" spans="1:9" x14ac:dyDescent="0.25">
      <c r="A18" s="1" t="s">
        <v>8</v>
      </c>
      <c r="B18" s="1" t="s">
        <v>14</v>
      </c>
      <c r="C18" s="62">
        <v>0.70599999999999996</v>
      </c>
      <c r="D18" s="62">
        <v>2.1999999999999999E-2</v>
      </c>
      <c r="E18" s="62">
        <v>0.191</v>
      </c>
      <c r="F18" s="62">
        <v>1.4999999999999999E-2</v>
      </c>
      <c r="G18" s="62">
        <v>5.8999999999999997E-2</v>
      </c>
      <c r="H18" s="62">
        <v>4.0000000000000001E-3</v>
      </c>
      <c r="I18" s="62">
        <v>2E-3</v>
      </c>
    </row>
    <row r="19" spans="1:9" x14ac:dyDescent="0.25">
      <c r="A19" s="1" t="s">
        <v>8</v>
      </c>
      <c r="B19" s="1" t="s">
        <v>10</v>
      </c>
      <c r="C19" s="62">
        <v>0.8</v>
      </c>
      <c r="D19" s="62">
        <v>2.7E-2</v>
      </c>
      <c r="E19" s="62">
        <v>9.1999999999999998E-2</v>
      </c>
      <c r="F19" s="62">
        <v>0.01</v>
      </c>
      <c r="G19" s="62">
        <v>0.06</v>
      </c>
      <c r="H19" s="62">
        <v>0.01</v>
      </c>
      <c r="I19" s="62">
        <v>1E-3</v>
      </c>
    </row>
    <row r="20" spans="1:9" x14ac:dyDescent="0.25">
      <c r="A20" s="1" t="s">
        <v>18</v>
      </c>
      <c r="B20" s="1" t="s">
        <v>21</v>
      </c>
      <c r="C20" s="62">
        <v>0.67200000000000004</v>
      </c>
      <c r="D20" s="62">
        <v>4.1000000000000002E-2</v>
      </c>
      <c r="E20" s="62">
        <v>0.20599999999999999</v>
      </c>
      <c r="F20" s="62">
        <v>1.2999999999999999E-2</v>
      </c>
      <c r="G20" s="62">
        <v>0.06</v>
      </c>
      <c r="H20" s="62">
        <v>5.0000000000000001E-3</v>
      </c>
      <c r="I20" s="62">
        <v>3.0000000000000001E-3</v>
      </c>
    </row>
    <row r="21" spans="1:9" x14ac:dyDescent="0.25">
      <c r="A21" s="1" t="s">
        <v>8</v>
      </c>
      <c r="B21" s="1" t="s">
        <v>12</v>
      </c>
      <c r="C21" s="62">
        <v>0.66200000000000003</v>
      </c>
      <c r="D21" s="62">
        <v>6.0999999999999999E-2</v>
      </c>
      <c r="E21" s="62">
        <v>0.19900000000000001</v>
      </c>
      <c r="F21" s="62">
        <v>7.0000000000000001E-3</v>
      </c>
      <c r="G21" s="62">
        <v>6.2E-2</v>
      </c>
      <c r="H21" s="62">
        <v>8.0000000000000002E-3</v>
      </c>
      <c r="I21" s="62">
        <v>1E-3</v>
      </c>
    </row>
    <row r="22" spans="1:9" x14ac:dyDescent="0.25">
      <c r="A22" s="1" t="s">
        <v>23</v>
      </c>
      <c r="B22" s="1" t="s">
        <v>26</v>
      </c>
      <c r="C22" s="62">
        <v>0.66600000000000004</v>
      </c>
      <c r="D22" s="62">
        <v>9.4E-2</v>
      </c>
      <c r="E22" s="62">
        <v>0.16300000000000001</v>
      </c>
      <c r="F22" s="62">
        <v>1.4E-2</v>
      </c>
      <c r="G22" s="62">
        <v>5.7000000000000002E-2</v>
      </c>
      <c r="H22" s="62">
        <v>4.0000000000000001E-3</v>
      </c>
      <c r="I22" s="62">
        <v>2E-3</v>
      </c>
    </row>
    <row r="23" spans="1:9" x14ac:dyDescent="0.25">
      <c r="A23" s="1" t="s">
        <v>0</v>
      </c>
      <c r="B23" s="1" t="s">
        <v>1</v>
      </c>
      <c r="C23" s="62">
        <v>0.64900000000000002</v>
      </c>
      <c r="D23" s="62">
        <v>1.6E-2</v>
      </c>
      <c r="E23" s="62">
        <v>0.20399999999999999</v>
      </c>
      <c r="F23" s="62">
        <v>2.7E-2</v>
      </c>
      <c r="G23" s="62">
        <v>8.2000000000000003E-2</v>
      </c>
      <c r="H23" s="62">
        <v>1.9E-2</v>
      </c>
      <c r="I23" s="62">
        <v>3.0000000000000001E-3</v>
      </c>
    </row>
    <row r="24" spans="1:9" x14ac:dyDescent="0.25">
      <c r="A24" s="1" t="s">
        <v>0</v>
      </c>
      <c r="B24" s="1" t="s">
        <v>4</v>
      </c>
      <c r="C24" s="62">
        <v>0.63</v>
      </c>
      <c r="D24" s="62">
        <v>2.5999999999999999E-2</v>
      </c>
      <c r="E24" s="62">
        <v>0.22700000000000001</v>
      </c>
      <c r="F24" s="62">
        <v>2.3E-2</v>
      </c>
      <c r="G24" s="62">
        <v>7.2999999999999995E-2</v>
      </c>
      <c r="H24" s="62">
        <v>2.1999999999999999E-2</v>
      </c>
      <c r="I24" s="62">
        <v>0</v>
      </c>
    </row>
    <row r="25" spans="1:9" x14ac:dyDescent="0.25">
      <c r="A25" s="1" t="s">
        <v>23</v>
      </c>
      <c r="B25" s="1" t="s">
        <v>25</v>
      </c>
      <c r="C25" s="62">
        <v>0.64500000000000002</v>
      </c>
      <c r="D25" s="62">
        <v>6.0999999999999999E-2</v>
      </c>
      <c r="E25" s="62">
        <v>0.23100000000000001</v>
      </c>
      <c r="F25" s="62">
        <v>1.4999999999999999E-2</v>
      </c>
      <c r="G25" s="62">
        <v>4.2999999999999997E-2</v>
      </c>
      <c r="H25" s="62">
        <v>3.0000000000000001E-3</v>
      </c>
      <c r="I25" s="62">
        <v>2E-3</v>
      </c>
    </row>
    <row r="26" spans="1:9" x14ac:dyDescent="0.25">
      <c r="A26" s="1" t="s">
        <v>18</v>
      </c>
      <c r="B26" s="1" t="s">
        <v>22</v>
      </c>
      <c r="C26" s="62">
        <v>0.56399999999999995</v>
      </c>
      <c r="D26" s="62">
        <v>9.0999999999999998E-2</v>
      </c>
      <c r="E26" s="62">
        <v>0.247</v>
      </c>
      <c r="F26" s="62">
        <v>1.0999999999999999E-2</v>
      </c>
      <c r="G26" s="62">
        <v>7.3999999999999996E-2</v>
      </c>
      <c r="H26" s="62">
        <v>8.9999999999999993E-3</v>
      </c>
      <c r="I26" s="62">
        <v>4.0000000000000001E-3</v>
      </c>
    </row>
    <row r="27" spans="1:9" x14ac:dyDescent="0.25">
      <c r="A27" s="1" t="s">
        <v>8</v>
      </c>
      <c r="B27" s="1" t="s">
        <v>16</v>
      </c>
      <c r="C27" s="62">
        <v>0.628</v>
      </c>
      <c r="D27" s="62">
        <v>4.9000000000000002E-2</v>
      </c>
      <c r="E27" s="62">
        <v>0.215</v>
      </c>
      <c r="F27" s="62">
        <v>8.9999999999999993E-3</v>
      </c>
      <c r="G27" s="62">
        <v>8.6999999999999994E-2</v>
      </c>
      <c r="H27" s="62">
        <v>6.0000000000000001E-3</v>
      </c>
      <c r="I27" s="62">
        <v>6.0000000000000001E-3</v>
      </c>
    </row>
    <row r="28" spans="1:9" x14ac:dyDescent="0.25">
      <c r="A28" s="1" t="s">
        <v>0</v>
      </c>
      <c r="B28" s="1" t="s">
        <v>7</v>
      </c>
      <c r="C28" s="62">
        <v>0.64500000000000002</v>
      </c>
      <c r="D28" s="62">
        <v>2.8000000000000001E-2</v>
      </c>
      <c r="E28" s="62">
        <v>0.222</v>
      </c>
      <c r="F28" s="62">
        <v>3.4000000000000002E-2</v>
      </c>
      <c r="G28" s="62">
        <v>0.06</v>
      </c>
      <c r="H28" s="62">
        <v>0.01</v>
      </c>
      <c r="I28" s="62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9DF4-DAB2-4C1A-9FAC-6B4AAAEB0B88}">
  <sheetPr codeName="Planilha5"/>
  <dimension ref="A1:I28"/>
  <sheetViews>
    <sheetView workbookViewId="0">
      <selection activeCell="E70" sqref="E70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37.42578125" bestFit="1" customWidth="1"/>
    <col min="4" max="4" width="12" bestFit="1" customWidth="1"/>
    <col min="5" max="5" width="24.5703125" bestFit="1" customWidth="1"/>
    <col min="6" max="6" width="13.140625" bestFit="1" customWidth="1"/>
    <col min="7" max="7" width="13.85546875" bestFit="1" customWidth="1"/>
    <col min="8" max="8" width="18.7109375" bestFit="1" customWidth="1"/>
    <col min="9" max="9" width="19.28515625" bestFit="1" customWidth="1"/>
  </cols>
  <sheetData>
    <row r="1" spans="1:9" x14ac:dyDescent="0.25">
      <c r="A1" t="s">
        <v>32</v>
      </c>
      <c r="B1" t="s">
        <v>33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25">
      <c r="A2" s="1" t="s">
        <v>0</v>
      </c>
      <c r="B2" s="1" t="s">
        <v>2</v>
      </c>
      <c r="C2">
        <v>0.95299999999999996</v>
      </c>
      <c r="D2">
        <v>0.92500000000000004</v>
      </c>
      <c r="E2">
        <v>0.60399999999999998</v>
      </c>
      <c r="F2">
        <v>0.32</v>
      </c>
      <c r="G2">
        <v>0.38600000000000001</v>
      </c>
      <c r="H2">
        <v>0.79300000000000004</v>
      </c>
      <c r="I2">
        <v>0.26700000000000002</v>
      </c>
    </row>
    <row r="3" spans="1:9" x14ac:dyDescent="0.25">
      <c r="A3" s="1" t="s">
        <v>0</v>
      </c>
      <c r="B3" s="1" t="s">
        <v>1</v>
      </c>
      <c r="C3">
        <v>0.98299999999999998</v>
      </c>
      <c r="D3">
        <v>0.98899999999999999</v>
      </c>
      <c r="E3">
        <v>0.79900000000000004</v>
      </c>
      <c r="F3">
        <v>0.55100000000000005</v>
      </c>
      <c r="G3">
        <v>0.54700000000000004</v>
      </c>
      <c r="H3">
        <v>0.92</v>
      </c>
      <c r="I3">
        <v>0.374</v>
      </c>
    </row>
    <row r="4" spans="1:9" x14ac:dyDescent="0.25">
      <c r="A4" s="1" t="s">
        <v>0</v>
      </c>
      <c r="B4" s="1" t="s">
        <v>6</v>
      </c>
      <c r="C4">
        <v>0.97599999999999998</v>
      </c>
      <c r="D4">
        <v>0.98299999999999998</v>
      </c>
      <c r="E4">
        <v>0.83099999999999996</v>
      </c>
      <c r="F4">
        <v>0.32900000000000001</v>
      </c>
      <c r="G4">
        <v>0.16</v>
      </c>
      <c r="H4">
        <v>0.90900000000000003</v>
      </c>
      <c r="I4">
        <v>0.29199999999999998</v>
      </c>
    </row>
    <row r="5" spans="1:9" x14ac:dyDescent="0.25">
      <c r="A5" s="1" t="s">
        <v>0</v>
      </c>
      <c r="B5" s="1" t="s">
        <v>3</v>
      </c>
      <c r="C5">
        <v>0.94799999999999995</v>
      </c>
      <c r="D5">
        <v>0.93799999999999994</v>
      </c>
      <c r="E5">
        <v>0.67</v>
      </c>
      <c r="F5">
        <v>0.27500000000000002</v>
      </c>
      <c r="G5">
        <v>0.25800000000000001</v>
      </c>
      <c r="H5">
        <v>0.83799999999999997</v>
      </c>
      <c r="I5">
        <v>0.30199999999999999</v>
      </c>
    </row>
    <row r="6" spans="1:9" x14ac:dyDescent="0.25">
      <c r="A6" s="1" t="s">
        <v>8</v>
      </c>
      <c r="B6" s="1" t="s">
        <v>11</v>
      </c>
      <c r="C6">
        <v>0.96599999999999997</v>
      </c>
      <c r="D6">
        <v>0.98199999999999998</v>
      </c>
      <c r="E6">
        <v>0.46500000000000002</v>
      </c>
      <c r="F6">
        <v>0.3</v>
      </c>
      <c r="G6">
        <v>0.40400000000000003</v>
      </c>
      <c r="H6">
        <v>0.89800000000000002</v>
      </c>
      <c r="I6">
        <v>0.27900000000000003</v>
      </c>
    </row>
    <row r="7" spans="1:9" x14ac:dyDescent="0.25">
      <c r="A7" s="1" t="s">
        <v>0</v>
      </c>
      <c r="B7" s="1" t="s">
        <v>4</v>
      </c>
      <c r="C7">
        <v>0.98</v>
      </c>
      <c r="D7">
        <v>0.96699999999999997</v>
      </c>
      <c r="E7">
        <v>0.71899999999999997</v>
      </c>
      <c r="F7">
        <v>0.45300000000000001</v>
      </c>
      <c r="G7">
        <v>0.371</v>
      </c>
      <c r="H7">
        <v>0.91800000000000004</v>
      </c>
      <c r="I7">
        <v>0.29199999999999998</v>
      </c>
    </row>
    <row r="8" spans="1:9" x14ac:dyDescent="0.25">
      <c r="A8" s="1" t="s">
        <v>8</v>
      </c>
      <c r="B8" s="1" t="s">
        <v>9</v>
      </c>
      <c r="C8">
        <v>0.94</v>
      </c>
      <c r="D8">
        <v>0.98199999999999998</v>
      </c>
      <c r="E8">
        <v>0.34300000000000003</v>
      </c>
      <c r="F8">
        <v>0.22600000000000001</v>
      </c>
      <c r="G8">
        <v>0.497</v>
      </c>
      <c r="H8">
        <v>0.84399999999999997</v>
      </c>
      <c r="I8">
        <v>0.20799999999999999</v>
      </c>
    </row>
    <row r="9" spans="1:9" x14ac:dyDescent="0.25">
      <c r="A9" s="1" t="s">
        <v>0</v>
      </c>
      <c r="B9" s="1" t="s">
        <v>5</v>
      </c>
      <c r="C9">
        <v>0.94499999999999995</v>
      </c>
      <c r="D9">
        <v>0.92</v>
      </c>
      <c r="E9">
        <v>0.41</v>
      </c>
      <c r="F9">
        <v>0.24</v>
      </c>
      <c r="G9">
        <v>0.38300000000000001</v>
      </c>
      <c r="H9">
        <v>0.85</v>
      </c>
      <c r="I9">
        <v>0.22600000000000001</v>
      </c>
    </row>
    <row r="10" spans="1:9" x14ac:dyDescent="0.25">
      <c r="A10" s="1" t="s">
        <v>0</v>
      </c>
      <c r="B10" s="1" t="s">
        <v>7</v>
      </c>
      <c r="C10">
        <v>0.98</v>
      </c>
      <c r="D10">
        <v>0.98699999999999999</v>
      </c>
      <c r="E10">
        <v>0.58399999999999996</v>
      </c>
      <c r="F10">
        <v>0.48299999999999998</v>
      </c>
      <c r="G10">
        <v>0.51100000000000001</v>
      </c>
      <c r="H10">
        <v>0.89900000000000002</v>
      </c>
      <c r="I10">
        <v>0.32900000000000001</v>
      </c>
    </row>
    <row r="11" spans="1:9" x14ac:dyDescent="0.25">
      <c r="A11" s="1" t="s">
        <v>8</v>
      </c>
      <c r="B11" s="1" t="s">
        <v>10</v>
      </c>
      <c r="C11">
        <v>0.95899999999999996</v>
      </c>
      <c r="D11">
        <v>0.98199999999999998</v>
      </c>
      <c r="E11">
        <v>0.35299999999999998</v>
      </c>
      <c r="F11">
        <v>0.33300000000000002</v>
      </c>
      <c r="G11">
        <v>0.57999999999999996</v>
      </c>
      <c r="H11">
        <v>0.87</v>
      </c>
      <c r="I11">
        <v>0.27500000000000002</v>
      </c>
    </row>
    <row r="12" spans="1:9" x14ac:dyDescent="0.25">
      <c r="A12" s="1" t="s">
        <v>8</v>
      </c>
      <c r="B12" s="1" t="s">
        <v>12</v>
      </c>
      <c r="C12">
        <v>0.96699999999999997</v>
      </c>
      <c r="D12">
        <v>0.99399999999999999</v>
      </c>
      <c r="E12">
        <v>0.49299999999999999</v>
      </c>
      <c r="F12">
        <v>0.371</v>
      </c>
      <c r="G12">
        <v>0.36899999999999999</v>
      </c>
      <c r="H12">
        <v>0.91200000000000003</v>
      </c>
      <c r="I12">
        <v>0.33800000000000002</v>
      </c>
    </row>
    <row r="13" spans="1:9" x14ac:dyDescent="0.25">
      <c r="A13" s="1" t="s">
        <v>8</v>
      </c>
      <c r="B13" s="1" t="s">
        <v>13</v>
      </c>
      <c r="C13">
        <v>0.97299999999999998</v>
      </c>
      <c r="D13">
        <v>0.98599999999999999</v>
      </c>
      <c r="E13">
        <v>0.41</v>
      </c>
      <c r="F13">
        <v>0.36199999999999999</v>
      </c>
      <c r="G13">
        <v>0.44700000000000001</v>
      </c>
      <c r="H13">
        <v>0.89100000000000001</v>
      </c>
      <c r="I13">
        <v>0.29699999999999999</v>
      </c>
    </row>
    <row r="14" spans="1:9" x14ac:dyDescent="0.25">
      <c r="A14" s="1" t="s">
        <v>8</v>
      </c>
      <c r="B14" s="1" t="s">
        <v>14</v>
      </c>
      <c r="C14">
        <v>0.96299999999999997</v>
      </c>
      <c r="D14">
        <v>0.98699999999999999</v>
      </c>
      <c r="E14">
        <v>0.47099999999999997</v>
      </c>
      <c r="F14">
        <v>0.32800000000000001</v>
      </c>
      <c r="G14">
        <v>0.23899999999999999</v>
      </c>
      <c r="H14">
        <v>0.89100000000000001</v>
      </c>
      <c r="I14">
        <v>0.30199999999999999</v>
      </c>
    </row>
    <row r="15" spans="1:9" x14ac:dyDescent="0.25">
      <c r="A15" s="1" t="s">
        <v>8</v>
      </c>
      <c r="B15" s="1" t="s">
        <v>15</v>
      </c>
      <c r="C15">
        <v>0.96699999999999997</v>
      </c>
      <c r="D15">
        <v>0.98199999999999998</v>
      </c>
      <c r="E15">
        <v>0.375</v>
      </c>
      <c r="F15">
        <v>0.28399999999999997</v>
      </c>
      <c r="G15">
        <v>0.32600000000000001</v>
      </c>
      <c r="H15">
        <v>0.89800000000000002</v>
      </c>
      <c r="I15">
        <v>0.245</v>
      </c>
    </row>
    <row r="16" spans="1:9" x14ac:dyDescent="0.25">
      <c r="A16" s="1" t="s">
        <v>8</v>
      </c>
      <c r="B16" s="1" t="s">
        <v>16</v>
      </c>
      <c r="C16">
        <v>0.97799999999999998</v>
      </c>
      <c r="D16">
        <v>0.98199999999999998</v>
      </c>
      <c r="E16">
        <v>0.45800000000000002</v>
      </c>
      <c r="F16">
        <v>0.32600000000000001</v>
      </c>
      <c r="G16">
        <v>0.33500000000000002</v>
      </c>
      <c r="H16">
        <v>0.90100000000000002</v>
      </c>
      <c r="I16">
        <v>0.28399999999999997</v>
      </c>
    </row>
    <row r="17" spans="1:9" x14ac:dyDescent="0.25">
      <c r="A17" s="1" t="s">
        <v>8</v>
      </c>
      <c r="B17" s="1" t="s">
        <v>17</v>
      </c>
      <c r="C17">
        <v>0.96699999999999997</v>
      </c>
      <c r="D17">
        <v>0.97599999999999998</v>
      </c>
      <c r="E17">
        <v>0.42199999999999999</v>
      </c>
      <c r="F17">
        <v>0.34799999999999998</v>
      </c>
      <c r="G17">
        <v>0.30199999999999999</v>
      </c>
      <c r="H17">
        <v>0.89200000000000002</v>
      </c>
      <c r="I17">
        <v>0.27400000000000002</v>
      </c>
    </row>
    <row r="18" spans="1:9" x14ac:dyDescent="0.25">
      <c r="A18" s="1" t="s">
        <v>18</v>
      </c>
      <c r="B18" s="1" t="s">
        <v>19</v>
      </c>
      <c r="C18">
        <v>0.98599999999999999</v>
      </c>
      <c r="D18">
        <v>0.99399999999999999</v>
      </c>
      <c r="E18">
        <v>0.71199999999999997</v>
      </c>
      <c r="F18">
        <v>0.58799999999999997</v>
      </c>
      <c r="G18">
        <v>0.29199999999999998</v>
      </c>
      <c r="H18">
        <v>0.92400000000000004</v>
      </c>
      <c r="I18">
        <v>0.442</v>
      </c>
    </row>
    <row r="19" spans="1:9" x14ac:dyDescent="0.25">
      <c r="A19" s="1" t="s">
        <v>18</v>
      </c>
      <c r="B19" s="1" t="s">
        <v>20</v>
      </c>
      <c r="C19">
        <v>0.98899999999999999</v>
      </c>
      <c r="D19">
        <v>0.995</v>
      </c>
      <c r="E19">
        <v>0.747</v>
      </c>
      <c r="F19">
        <v>0.55300000000000005</v>
      </c>
      <c r="G19">
        <v>0.27800000000000002</v>
      </c>
      <c r="H19">
        <v>0.92400000000000004</v>
      </c>
      <c r="I19">
        <v>0.44800000000000001</v>
      </c>
    </row>
    <row r="20" spans="1:9" x14ac:dyDescent="0.25">
      <c r="A20" s="1" t="s">
        <v>18</v>
      </c>
      <c r="B20" s="1" t="s">
        <v>21</v>
      </c>
      <c r="C20">
        <v>0.98699999999999999</v>
      </c>
      <c r="D20">
        <v>0.99399999999999999</v>
      </c>
      <c r="E20">
        <v>0.84299999999999997</v>
      </c>
      <c r="F20">
        <v>0.497</v>
      </c>
      <c r="G20">
        <v>0.13</v>
      </c>
      <c r="H20">
        <v>0.93700000000000006</v>
      </c>
      <c r="I20">
        <v>0.51300000000000001</v>
      </c>
    </row>
    <row r="21" spans="1:9" x14ac:dyDescent="0.25">
      <c r="A21" s="1" t="s">
        <v>18</v>
      </c>
      <c r="B21" s="1" t="s">
        <v>22</v>
      </c>
      <c r="C21">
        <v>0.99299999999999999</v>
      </c>
      <c r="D21">
        <v>0.996</v>
      </c>
      <c r="E21">
        <v>0.89500000000000002</v>
      </c>
      <c r="F21">
        <v>0.66400000000000003</v>
      </c>
      <c r="G21">
        <v>0.19900000000000001</v>
      </c>
      <c r="H21">
        <v>0.95699999999999996</v>
      </c>
      <c r="I21">
        <v>0.55500000000000005</v>
      </c>
    </row>
    <row r="22" spans="1:9" x14ac:dyDescent="0.25">
      <c r="A22" s="1" t="s">
        <v>23</v>
      </c>
      <c r="B22" s="1" t="s">
        <v>24</v>
      </c>
      <c r="C22">
        <v>0.98599999999999999</v>
      </c>
      <c r="D22">
        <v>0.995</v>
      </c>
      <c r="E22">
        <v>0.88400000000000001</v>
      </c>
      <c r="F22">
        <v>0.73599999999999999</v>
      </c>
      <c r="G22">
        <v>0.26</v>
      </c>
      <c r="H22">
        <v>0.93500000000000005</v>
      </c>
      <c r="I22">
        <v>0.499</v>
      </c>
    </row>
    <row r="23" spans="1:9" x14ac:dyDescent="0.25">
      <c r="A23" s="1" t="s">
        <v>23</v>
      </c>
      <c r="B23" s="1" t="s">
        <v>25</v>
      </c>
      <c r="C23">
        <v>0.99199999999999999</v>
      </c>
      <c r="D23">
        <v>0.997</v>
      </c>
      <c r="E23">
        <v>0.95699999999999996</v>
      </c>
      <c r="F23">
        <v>0.79</v>
      </c>
      <c r="G23">
        <v>0.27500000000000002</v>
      </c>
      <c r="H23">
        <v>0.94099999999999995</v>
      </c>
      <c r="I23">
        <v>0.54700000000000004</v>
      </c>
    </row>
    <row r="24" spans="1:9" x14ac:dyDescent="0.25">
      <c r="A24" s="1" t="s">
        <v>23</v>
      </c>
      <c r="B24" s="1" t="s">
        <v>26</v>
      </c>
      <c r="C24">
        <v>0.99</v>
      </c>
      <c r="D24">
        <v>0.997</v>
      </c>
      <c r="E24">
        <v>0.91</v>
      </c>
      <c r="F24">
        <v>0.72199999999999998</v>
      </c>
      <c r="G24">
        <v>0.19900000000000001</v>
      </c>
      <c r="H24">
        <v>0.93799999999999994</v>
      </c>
      <c r="I24">
        <v>0.50900000000000001</v>
      </c>
    </row>
    <row r="25" spans="1:9" x14ac:dyDescent="0.25">
      <c r="A25" s="1" t="s">
        <v>27</v>
      </c>
      <c r="B25" s="1" t="s">
        <v>28</v>
      </c>
      <c r="C25">
        <v>0.99</v>
      </c>
      <c r="D25">
        <v>0.99199999999999999</v>
      </c>
      <c r="E25">
        <v>0.81599999999999995</v>
      </c>
      <c r="F25">
        <v>0.63200000000000001</v>
      </c>
      <c r="G25">
        <v>0.35</v>
      </c>
      <c r="H25">
        <v>0.94199999999999995</v>
      </c>
      <c r="I25">
        <v>0.432</v>
      </c>
    </row>
    <row r="26" spans="1:9" x14ac:dyDescent="0.25">
      <c r="A26" s="1" t="s">
        <v>27</v>
      </c>
      <c r="B26" s="1" t="s">
        <v>29</v>
      </c>
      <c r="C26">
        <v>0.99099999999999999</v>
      </c>
      <c r="D26">
        <v>0.99399999999999999</v>
      </c>
      <c r="E26">
        <v>0.85199999999999998</v>
      </c>
      <c r="F26">
        <v>0.59699999999999998</v>
      </c>
      <c r="G26">
        <v>0.48699999999999999</v>
      </c>
      <c r="H26">
        <v>0.94099999999999995</v>
      </c>
      <c r="I26">
        <v>0.38600000000000001</v>
      </c>
    </row>
    <row r="27" spans="1:9" x14ac:dyDescent="0.25">
      <c r="A27" s="1" t="s">
        <v>27</v>
      </c>
      <c r="B27" s="1" t="s">
        <v>30</v>
      </c>
      <c r="C27">
        <v>0.99399999999999999</v>
      </c>
      <c r="D27">
        <v>0.99299999999999999</v>
      </c>
      <c r="E27">
        <v>0.80500000000000005</v>
      </c>
      <c r="F27">
        <v>0.63700000000000001</v>
      </c>
      <c r="G27">
        <v>0.32600000000000001</v>
      </c>
      <c r="H27">
        <v>0.94199999999999995</v>
      </c>
      <c r="I27">
        <v>0.42299999999999999</v>
      </c>
    </row>
    <row r="28" spans="1:9" x14ac:dyDescent="0.25">
      <c r="A28" s="1" t="s">
        <v>27</v>
      </c>
      <c r="B28" s="1" t="s">
        <v>31</v>
      </c>
      <c r="C28">
        <v>0.998</v>
      </c>
      <c r="D28">
        <v>0.99099999999999999</v>
      </c>
      <c r="E28">
        <v>0.86399999999999999</v>
      </c>
      <c r="F28">
        <v>0.71</v>
      </c>
      <c r="G28">
        <v>0.113</v>
      </c>
      <c r="H28">
        <v>0.97599999999999998</v>
      </c>
      <c r="I28">
        <v>0.67400000000000004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1F39-B87A-4C22-AA19-5976AC7CA498}">
  <sheetPr codeName="Planilha6"/>
  <dimension ref="A1:J28"/>
  <sheetViews>
    <sheetView workbookViewId="0">
      <selection activeCell="E70" sqref="E70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22.5703125" bestFit="1" customWidth="1"/>
    <col min="4" max="4" width="27" bestFit="1" customWidth="1"/>
    <col min="5" max="5" width="30.85546875" bestFit="1" customWidth="1"/>
    <col min="6" max="6" width="18.7109375" bestFit="1" customWidth="1"/>
    <col min="7" max="7" width="7.140625" bestFit="1" customWidth="1"/>
    <col min="8" max="8" width="17.5703125" bestFit="1" customWidth="1"/>
    <col min="9" max="9" width="14" bestFit="1" customWidth="1"/>
    <col min="10" max="11" width="26.85546875" bestFit="1" customWidth="1"/>
  </cols>
  <sheetData>
    <row r="1" spans="1:10" x14ac:dyDescent="0.25">
      <c r="A1" t="s">
        <v>32</v>
      </c>
      <c r="B1" t="s">
        <v>33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36</v>
      </c>
      <c r="J1" t="s">
        <v>43</v>
      </c>
    </row>
    <row r="2" spans="1:10" x14ac:dyDescent="0.25">
      <c r="A2" s="1" t="s">
        <v>0</v>
      </c>
      <c r="B2" s="1" t="s">
        <v>2</v>
      </c>
      <c r="C2">
        <v>0.35699999999999998</v>
      </c>
      <c r="D2">
        <v>7.8E-2</v>
      </c>
      <c r="E2">
        <v>0.26300000000000001</v>
      </c>
      <c r="F2">
        <v>0.13300000000000001</v>
      </c>
      <c r="G2">
        <v>9.5000000000000001E-2</v>
      </c>
      <c r="H2">
        <v>4.2999999999999997E-2</v>
      </c>
      <c r="I2">
        <v>3.0000000000000001E-3</v>
      </c>
      <c r="J2">
        <v>2.7E-2</v>
      </c>
    </row>
    <row r="3" spans="1:10" x14ac:dyDescent="0.25">
      <c r="A3" s="1" t="s">
        <v>8</v>
      </c>
      <c r="B3" s="1" t="s">
        <v>15</v>
      </c>
      <c r="C3">
        <v>0.27600000000000002</v>
      </c>
      <c r="D3">
        <v>0.11799999999999999</v>
      </c>
      <c r="E3">
        <v>0.25800000000000001</v>
      </c>
      <c r="F3">
        <v>0.28899999999999998</v>
      </c>
      <c r="G3">
        <v>2.9000000000000001E-2</v>
      </c>
      <c r="H3">
        <v>1.7000000000000001E-2</v>
      </c>
      <c r="I3">
        <v>6.0000000000000001E-3</v>
      </c>
      <c r="J3">
        <v>8.0000000000000002E-3</v>
      </c>
    </row>
    <row r="4" spans="1:10" x14ac:dyDescent="0.25">
      <c r="A4" s="1" t="s">
        <v>0</v>
      </c>
      <c r="B4" s="1" t="s">
        <v>6</v>
      </c>
      <c r="C4">
        <v>0.127</v>
      </c>
      <c r="D4">
        <v>7.9000000000000001E-2</v>
      </c>
      <c r="E4">
        <v>0.308</v>
      </c>
      <c r="F4">
        <v>0.38400000000000001</v>
      </c>
      <c r="G4">
        <v>2.4E-2</v>
      </c>
      <c r="H4">
        <v>7.3999999999999996E-2</v>
      </c>
      <c r="I4">
        <v>3.0000000000000001E-3</v>
      </c>
      <c r="J4">
        <v>0</v>
      </c>
    </row>
    <row r="5" spans="1:10" x14ac:dyDescent="0.25">
      <c r="A5" s="1" t="s">
        <v>0</v>
      </c>
      <c r="B5" s="1" t="s">
        <v>3</v>
      </c>
      <c r="C5">
        <v>0.34399999999999997</v>
      </c>
      <c r="D5">
        <v>9.2999999999999999E-2</v>
      </c>
      <c r="E5">
        <v>0.17299999999999999</v>
      </c>
      <c r="F5">
        <v>0.246</v>
      </c>
      <c r="G5">
        <v>5.3999999999999999E-2</v>
      </c>
      <c r="H5">
        <v>7.4999999999999997E-2</v>
      </c>
      <c r="I5">
        <v>2E-3</v>
      </c>
      <c r="J5">
        <v>1.2E-2</v>
      </c>
    </row>
    <row r="6" spans="1:10" x14ac:dyDescent="0.25">
      <c r="A6" s="1" t="s">
        <v>8</v>
      </c>
      <c r="B6" s="1" t="s">
        <v>17</v>
      </c>
      <c r="C6">
        <v>0.54200000000000004</v>
      </c>
      <c r="D6">
        <v>2.9000000000000001E-2</v>
      </c>
      <c r="E6">
        <v>0.16</v>
      </c>
      <c r="F6">
        <v>0.222</v>
      </c>
      <c r="G6">
        <v>1.9E-2</v>
      </c>
      <c r="H6">
        <v>1.4E-2</v>
      </c>
      <c r="I6">
        <v>3.0000000000000001E-3</v>
      </c>
      <c r="J6">
        <v>1.0999999999999999E-2</v>
      </c>
    </row>
    <row r="7" spans="1:10" x14ac:dyDescent="0.25">
      <c r="A7" s="1" t="s">
        <v>8</v>
      </c>
      <c r="B7" s="1" t="s">
        <v>11</v>
      </c>
      <c r="C7">
        <v>0.44400000000000001</v>
      </c>
      <c r="D7">
        <v>7.5999999999999998E-2</v>
      </c>
      <c r="E7">
        <v>0.254</v>
      </c>
      <c r="F7">
        <v>0.185</v>
      </c>
      <c r="G7">
        <v>2.1000000000000001E-2</v>
      </c>
      <c r="H7">
        <v>8.9999999999999993E-3</v>
      </c>
      <c r="I7">
        <v>4.0000000000000001E-3</v>
      </c>
      <c r="J7">
        <v>7.0000000000000001E-3</v>
      </c>
    </row>
    <row r="8" spans="1:10" x14ac:dyDescent="0.25">
      <c r="A8" s="1" t="s">
        <v>27</v>
      </c>
      <c r="B8" s="1" t="s">
        <v>31</v>
      </c>
      <c r="C8">
        <v>0.88300000000000001</v>
      </c>
      <c r="D8">
        <v>8.9999999999999993E-3</v>
      </c>
      <c r="E8">
        <v>9.0999999999999998E-2</v>
      </c>
      <c r="F8">
        <v>1.4999999999999999E-2</v>
      </c>
      <c r="G8">
        <v>1E-3</v>
      </c>
      <c r="H8">
        <v>0</v>
      </c>
      <c r="I8">
        <v>1E-3</v>
      </c>
      <c r="J8">
        <v>0</v>
      </c>
    </row>
    <row r="9" spans="1:10" x14ac:dyDescent="0.25">
      <c r="A9" s="1" t="s">
        <v>18</v>
      </c>
      <c r="B9" s="1" t="s">
        <v>20</v>
      </c>
      <c r="C9">
        <v>0.75</v>
      </c>
      <c r="D9">
        <v>1.7000000000000001E-2</v>
      </c>
      <c r="E9">
        <v>0.12</v>
      </c>
      <c r="F9">
        <v>5.8999999999999997E-2</v>
      </c>
      <c r="G9">
        <v>1.2999999999999999E-2</v>
      </c>
      <c r="H9">
        <v>3.9E-2</v>
      </c>
      <c r="I9">
        <v>1E-3</v>
      </c>
      <c r="J9">
        <v>0</v>
      </c>
    </row>
    <row r="10" spans="1:10" x14ac:dyDescent="0.25">
      <c r="A10" s="1" t="s">
        <v>27</v>
      </c>
      <c r="B10" s="1" t="s">
        <v>30</v>
      </c>
      <c r="C10">
        <v>0.56299999999999994</v>
      </c>
      <c r="D10">
        <v>4.4999999999999998E-2</v>
      </c>
      <c r="E10">
        <v>0.19400000000000001</v>
      </c>
      <c r="F10">
        <v>0.19600000000000001</v>
      </c>
      <c r="G10">
        <v>2E-3</v>
      </c>
      <c r="H10">
        <v>0</v>
      </c>
      <c r="I10">
        <v>0</v>
      </c>
      <c r="J10">
        <v>0</v>
      </c>
    </row>
    <row r="11" spans="1:10" x14ac:dyDescent="0.25">
      <c r="A11" s="1" t="s">
        <v>8</v>
      </c>
      <c r="B11" s="1" t="s">
        <v>9</v>
      </c>
      <c r="C11">
        <v>0.183</v>
      </c>
      <c r="D11">
        <v>6.0999999999999999E-2</v>
      </c>
      <c r="E11">
        <v>0.42</v>
      </c>
      <c r="F11">
        <v>0.22800000000000001</v>
      </c>
      <c r="G11">
        <v>5.7000000000000002E-2</v>
      </c>
      <c r="H11">
        <v>8.9999999999999993E-3</v>
      </c>
      <c r="I11">
        <v>8.0000000000000002E-3</v>
      </c>
      <c r="J11">
        <v>3.5000000000000003E-2</v>
      </c>
    </row>
    <row r="12" spans="1:10" x14ac:dyDescent="0.25">
      <c r="A12" s="1" t="s">
        <v>27</v>
      </c>
      <c r="B12" s="1" t="s">
        <v>29</v>
      </c>
      <c r="C12">
        <v>0.28999999999999998</v>
      </c>
      <c r="D12">
        <v>8.2000000000000003E-2</v>
      </c>
      <c r="E12">
        <v>0.48599999999999999</v>
      </c>
      <c r="F12">
        <v>0.13700000000000001</v>
      </c>
      <c r="G12">
        <v>1E-3</v>
      </c>
      <c r="H12">
        <v>5.0000000000000001E-3</v>
      </c>
      <c r="I12">
        <v>0</v>
      </c>
      <c r="J12">
        <v>0</v>
      </c>
    </row>
    <row r="13" spans="1:10" x14ac:dyDescent="0.25">
      <c r="A13" s="1" t="s">
        <v>27</v>
      </c>
      <c r="B13" s="1" t="s">
        <v>28</v>
      </c>
      <c r="C13">
        <v>0.48799999999999999</v>
      </c>
      <c r="D13">
        <v>8.7999999999999995E-2</v>
      </c>
      <c r="E13">
        <v>0.26300000000000001</v>
      </c>
      <c r="F13">
        <v>0.16200000000000001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1" t="s">
        <v>18</v>
      </c>
      <c r="B14" s="1" t="s">
        <v>19</v>
      </c>
      <c r="C14">
        <v>0.79100000000000004</v>
      </c>
      <c r="D14">
        <v>0.02</v>
      </c>
      <c r="E14">
        <v>7.0999999999999994E-2</v>
      </c>
      <c r="F14">
        <v>7.5999999999999998E-2</v>
      </c>
      <c r="G14">
        <v>7.0000000000000001E-3</v>
      </c>
      <c r="H14">
        <v>3.4000000000000002E-2</v>
      </c>
      <c r="I14">
        <v>1E-3</v>
      </c>
      <c r="J14">
        <v>2E-3</v>
      </c>
    </row>
    <row r="15" spans="1:10" x14ac:dyDescent="0.25">
      <c r="A15" s="1" t="s">
        <v>0</v>
      </c>
      <c r="B15" s="1" t="s">
        <v>5</v>
      </c>
      <c r="C15">
        <v>0.113</v>
      </c>
      <c r="D15">
        <v>9.0999999999999998E-2</v>
      </c>
      <c r="E15">
        <v>0.40899999999999997</v>
      </c>
      <c r="F15">
        <v>0.307</v>
      </c>
      <c r="G15">
        <v>4.5999999999999999E-2</v>
      </c>
      <c r="H15">
        <v>2.5000000000000001E-2</v>
      </c>
      <c r="I15">
        <v>2E-3</v>
      </c>
      <c r="J15">
        <v>7.0000000000000001E-3</v>
      </c>
    </row>
    <row r="16" spans="1:10" x14ac:dyDescent="0.25">
      <c r="A16" s="1" t="s">
        <v>8</v>
      </c>
      <c r="B16" s="1" t="s">
        <v>13</v>
      </c>
      <c r="C16">
        <v>0.42399999999999999</v>
      </c>
      <c r="D16">
        <v>5.6000000000000001E-2</v>
      </c>
      <c r="E16">
        <v>0.28000000000000003</v>
      </c>
      <c r="F16">
        <v>0.17899999999999999</v>
      </c>
      <c r="G16">
        <v>4.7E-2</v>
      </c>
      <c r="H16">
        <v>8.0000000000000002E-3</v>
      </c>
      <c r="I16">
        <v>0</v>
      </c>
      <c r="J16">
        <v>6.0000000000000001E-3</v>
      </c>
    </row>
    <row r="17" spans="1:10" x14ac:dyDescent="0.25">
      <c r="A17" s="1" t="s">
        <v>23</v>
      </c>
      <c r="B17" s="1" t="s">
        <v>24</v>
      </c>
      <c r="C17">
        <v>0.69299999999999995</v>
      </c>
      <c r="D17">
        <v>4.2000000000000003E-2</v>
      </c>
      <c r="E17">
        <v>0.14899999999999999</v>
      </c>
      <c r="F17">
        <v>0.108</v>
      </c>
      <c r="G17">
        <v>1E-3</v>
      </c>
      <c r="H17">
        <v>6.0000000000000001E-3</v>
      </c>
      <c r="I17">
        <v>1E-3</v>
      </c>
      <c r="J17">
        <v>0</v>
      </c>
    </row>
    <row r="18" spans="1:10" x14ac:dyDescent="0.25">
      <c r="A18" s="1" t="s">
        <v>8</v>
      </c>
      <c r="B18" s="1" t="s">
        <v>14</v>
      </c>
      <c r="C18">
        <v>0.56399999999999995</v>
      </c>
      <c r="D18">
        <v>7.3999999999999996E-2</v>
      </c>
      <c r="E18">
        <v>0.16700000000000001</v>
      </c>
      <c r="F18">
        <v>0.13</v>
      </c>
      <c r="G18">
        <v>0.04</v>
      </c>
      <c r="H18">
        <v>1.4999999999999999E-2</v>
      </c>
      <c r="I18">
        <v>6.0000000000000001E-3</v>
      </c>
      <c r="J18">
        <v>4.0000000000000001E-3</v>
      </c>
    </row>
    <row r="19" spans="1:10" x14ac:dyDescent="0.25">
      <c r="A19" s="1" t="s">
        <v>8</v>
      </c>
      <c r="B19" s="1" t="s">
        <v>10</v>
      </c>
      <c r="C19">
        <v>9.8000000000000004E-2</v>
      </c>
      <c r="D19">
        <v>7.0000000000000007E-2</v>
      </c>
      <c r="E19">
        <v>0.58499999999999996</v>
      </c>
      <c r="F19">
        <v>0.159</v>
      </c>
      <c r="G19">
        <v>1.6E-2</v>
      </c>
      <c r="H19">
        <v>3.0000000000000001E-3</v>
      </c>
      <c r="I19">
        <v>3.0000000000000001E-3</v>
      </c>
      <c r="J19">
        <v>6.6000000000000003E-2</v>
      </c>
    </row>
    <row r="20" spans="1:10" x14ac:dyDescent="0.25">
      <c r="A20" s="1" t="s">
        <v>18</v>
      </c>
      <c r="B20" s="1" t="s">
        <v>21</v>
      </c>
      <c r="C20">
        <v>0.80600000000000005</v>
      </c>
      <c r="D20">
        <v>7.6999999999999999E-2</v>
      </c>
      <c r="E20">
        <v>6.4000000000000001E-2</v>
      </c>
      <c r="F20">
        <v>1.0999999999999999E-2</v>
      </c>
      <c r="G20">
        <v>0.02</v>
      </c>
      <c r="H20">
        <v>0.02</v>
      </c>
      <c r="I20">
        <v>3.0000000000000001E-3</v>
      </c>
      <c r="J20">
        <v>0</v>
      </c>
    </row>
    <row r="21" spans="1:10" x14ac:dyDescent="0.25">
      <c r="A21" s="1" t="s">
        <v>8</v>
      </c>
      <c r="B21" s="1" t="s">
        <v>12</v>
      </c>
      <c r="C21">
        <v>0.26600000000000001</v>
      </c>
      <c r="D21">
        <v>8.2000000000000003E-2</v>
      </c>
      <c r="E21">
        <v>0.40699999999999997</v>
      </c>
      <c r="F21">
        <v>0.21199999999999999</v>
      </c>
      <c r="G21">
        <v>2.3E-2</v>
      </c>
      <c r="H21">
        <v>4.0000000000000001E-3</v>
      </c>
      <c r="I21">
        <v>4.0000000000000001E-3</v>
      </c>
      <c r="J21">
        <v>2E-3</v>
      </c>
    </row>
    <row r="22" spans="1:10" x14ac:dyDescent="0.25">
      <c r="A22" s="1" t="s">
        <v>23</v>
      </c>
      <c r="B22" s="1" t="s">
        <v>26</v>
      </c>
      <c r="C22">
        <v>0.51900000000000002</v>
      </c>
      <c r="D22">
        <v>0.185</v>
      </c>
      <c r="E22">
        <v>0.22</v>
      </c>
      <c r="F22">
        <v>6.4000000000000001E-2</v>
      </c>
      <c r="G22">
        <v>7.0000000000000001E-3</v>
      </c>
      <c r="H22">
        <v>4.0000000000000001E-3</v>
      </c>
      <c r="I22">
        <v>1E-3</v>
      </c>
      <c r="J22">
        <v>0</v>
      </c>
    </row>
    <row r="23" spans="1:10" x14ac:dyDescent="0.25">
      <c r="A23" s="1" t="s">
        <v>0</v>
      </c>
      <c r="B23" s="1" t="s">
        <v>1</v>
      </c>
      <c r="C23">
        <v>0.115</v>
      </c>
      <c r="D23">
        <v>0.126</v>
      </c>
      <c r="E23">
        <v>0.41199999999999998</v>
      </c>
      <c r="F23">
        <v>0.34</v>
      </c>
      <c r="G23">
        <v>4.0000000000000001E-3</v>
      </c>
      <c r="H23">
        <v>2E-3</v>
      </c>
      <c r="I23">
        <v>1E-3</v>
      </c>
      <c r="J23">
        <v>1E-3</v>
      </c>
    </row>
    <row r="24" spans="1:10" x14ac:dyDescent="0.25">
      <c r="A24" s="1" t="s">
        <v>0</v>
      </c>
      <c r="B24" s="1" t="s">
        <v>4</v>
      </c>
      <c r="C24">
        <v>0.47799999999999998</v>
      </c>
      <c r="D24">
        <v>8.2000000000000003E-2</v>
      </c>
      <c r="E24">
        <v>0.35199999999999998</v>
      </c>
      <c r="F24">
        <v>7.9000000000000001E-2</v>
      </c>
      <c r="G24">
        <v>5.0000000000000001E-3</v>
      </c>
      <c r="H24">
        <v>2E-3</v>
      </c>
      <c r="I24">
        <v>1E-3</v>
      </c>
      <c r="J24">
        <v>1E-3</v>
      </c>
    </row>
    <row r="25" spans="1:10" x14ac:dyDescent="0.25">
      <c r="A25" s="1" t="s">
        <v>23</v>
      </c>
      <c r="B25" s="1" t="s">
        <v>25</v>
      </c>
      <c r="C25">
        <v>0.35599999999999998</v>
      </c>
      <c r="D25">
        <v>0.249</v>
      </c>
      <c r="E25">
        <v>0.30199999999999999</v>
      </c>
      <c r="F25">
        <v>7.9000000000000001E-2</v>
      </c>
      <c r="G25">
        <v>5.0000000000000001E-3</v>
      </c>
      <c r="H25">
        <v>8.9999999999999993E-3</v>
      </c>
      <c r="I25">
        <v>1E-3</v>
      </c>
      <c r="J25">
        <v>0</v>
      </c>
    </row>
    <row r="26" spans="1:10" x14ac:dyDescent="0.25">
      <c r="A26" s="1" t="s">
        <v>18</v>
      </c>
      <c r="B26" s="1" t="s">
        <v>22</v>
      </c>
      <c r="C26">
        <v>0.90600000000000003</v>
      </c>
      <c r="D26">
        <v>2.7E-2</v>
      </c>
      <c r="E26">
        <v>3.2000000000000001E-2</v>
      </c>
      <c r="F26">
        <v>1.4E-2</v>
      </c>
      <c r="G26">
        <v>4.0000000000000001E-3</v>
      </c>
      <c r="H26">
        <v>1.6E-2</v>
      </c>
      <c r="I26">
        <v>1E-3</v>
      </c>
      <c r="J26">
        <v>0</v>
      </c>
    </row>
    <row r="27" spans="1:10" x14ac:dyDescent="0.25">
      <c r="A27" s="1" t="s">
        <v>8</v>
      </c>
      <c r="B27" s="1" t="s">
        <v>16</v>
      </c>
      <c r="C27">
        <v>0.443</v>
      </c>
      <c r="D27">
        <v>6.4000000000000001E-2</v>
      </c>
      <c r="E27">
        <v>0.11</v>
      </c>
      <c r="F27">
        <v>0.32900000000000001</v>
      </c>
      <c r="G27">
        <v>2.1999999999999999E-2</v>
      </c>
      <c r="H27">
        <v>2.3E-2</v>
      </c>
      <c r="I27">
        <v>3.0000000000000001E-3</v>
      </c>
      <c r="J27">
        <v>6.0000000000000001E-3</v>
      </c>
    </row>
    <row r="28" spans="1:10" x14ac:dyDescent="0.25">
      <c r="A28" s="1" t="s">
        <v>0</v>
      </c>
      <c r="B28" s="1" t="s">
        <v>7</v>
      </c>
      <c r="C28">
        <v>0.33700000000000002</v>
      </c>
      <c r="D28">
        <v>5.1999999999999998E-2</v>
      </c>
      <c r="E28">
        <v>0.20200000000000001</v>
      </c>
      <c r="F28">
        <v>0.39400000000000002</v>
      </c>
      <c r="G28">
        <v>5.0000000000000001E-3</v>
      </c>
      <c r="H28">
        <v>1E-3</v>
      </c>
      <c r="I28">
        <v>4.0000000000000001E-3</v>
      </c>
      <c r="J28">
        <v>5.0000000000000001E-3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421-E000-4355-9FE5-8EA71F0191B1}">
  <sheetPr codeName="Planilha7"/>
  <dimension ref="A1:H28"/>
  <sheetViews>
    <sheetView workbookViewId="0">
      <selection activeCell="E70" sqref="E70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26.7109375" bestFit="1" customWidth="1"/>
    <col min="4" max="4" width="28.28515625" bestFit="1" customWidth="1"/>
    <col min="5" max="5" width="30.42578125" bestFit="1" customWidth="1"/>
    <col min="6" max="6" width="19.85546875" bestFit="1" customWidth="1"/>
    <col min="7" max="7" width="27.42578125" bestFit="1" customWidth="1"/>
    <col min="8" max="8" width="14" bestFit="1" customWidth="1"/>
    <col min="9" max="9" width="20.5703125" bestFit="1" customWidth="1"/>
    <col min="10" max="10" width="19.28515625" bestFit="1" customWidth="1"/>
    <col min="11" max="16" width="11.140625" bestFit="1" customWidth="1"/>
  </cols>
  <sheetData>
    <row r="1" spans="1:8" x14ac:dyDescent="0.25">
      <c r="A1" t="s">
        <v>32</v>
      </c>
      <c r="B1" t="s">
        <v>33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36</v>
      </c>
    </row>
    <row r="2" spans="1:8" x14ac:dyDescent="0.25">
      <c r="A2" s="1" t="s">
        <v>0</v>
      </c>
      <c r="B2" s="1" t="s">
        <v>2</v>
      </c>
      <c r="C2">
        <v>0.57199999999999995</v>
      </c>
      <c r="D2">
        <v>0.17100000000000001</v>
      </c>
      <c r="E2">
        <v>0.17299999999999999</v>
      </c>
      <c r="F2">
        <v>0.05</v>
      </c>
      <c r="G2">
        <v>6.0000000000000001E-3</v>
      </c>
      <c r="H2">
        <v>2.8000000000000001E-2</v>
      </c>
    </row>
    <row r="3" spans="1:8" x14ac:dyDescent="0.25">
      <c r="A3" s="1" t="s">
        <v>8</v>
      </c>
      <c r="B3" s="1" t="s">
        <v>15</v>
      </c>
      <c r="C3">
        <v>0.72499999999999998</v>
      </c>
      <c r="D3">
        <v>0.128</v>
      </c>
      <c r="E3">
        <v>6.2E-2</v>
      </c>
      <c r="F3">
        <v>7.0000000000000001E-3</v>
      </c>
      <c r="G3">
        <v>3.2000000000000001E-2</v>
      </c>
      <c r="H3">
        <v>4.7E-2</v>
      </c>
    </row>
    <row r="4" spans="1:8" x14ac:dyDescent="0.25">
      <c r="A4" s="1" t="s">
        <v>0</v>
      </c>
      <c r="B4" s="1" t="s">
        <v>6</v>
      </c>
      <c r="C4">
        <v>0.502</v>
      </c>
      <c r="D4">
        <v>0.32300000000000001</v>
      </c>
      <c r="E4">
        <v>0.14000000000000001</v>
      </c>
      <c r="F4">
        <v>6.0000000000000001E-3</v>
      </c>
      <c r="G4">
        <v>0</v>
      </c>
      <c r="H4">
        <v>2.9000000000000001E-2</v>
      </c>
    </row>
    <row r="5" spans="1:8" x14ac:dyDescent="0.25">
      <c r="A5" s="1" t="s">
        <v>0</v>
      </c>
      <c r="B5" s="1" t="s">
        <v>3</v>
      </c>
      <c r="C5">
        <v>0.73499999999999999</v>
      </c>
      <c r="D5">
        <v>0.13700000000000001</v>
      </c>
      <c r="E5">
        <v>2.9000000000000001E-2</v>
      </c>
      <c r="F5">
        <v>3.2000000000000001E-2</v>
      </c>
      <c r="G5">
        <v>1.4999999999999999E-2</v>
      </c>
      <c r="H5">
        <v>5.0999999999999997E-2</v>
      </c>
    </row>
    <row r="6" spans="1:8" x14ac:dyDescent="0.25">
      <c r="A6" s="1" t="s">
        <v>8</v>
      </c>
      <c r="B6" s="1" t="s">
        <v>17</v>
      </c>
      <c r="C6">
        <v>0.83499999999999996</v>
      </c>
      <c r="D6">
        <v>6.7000000000000004E-2</v>
      </c>
      <c r="E6">
        <v>2.8000000000000001E-2</v>
      </c>
      <c r="F6">
        <v>2.4E-2</v>
      </c>
      <c r="G6">
        <v>2.3E-2</v>
      </c>
      <c r="H6">
        <v>2.3E-2</v>
      </c>
    </row>
    <row r="7" spans="1:8" x14ac:dyDescent="0.25">
      <c r="A7" s="1" t="s">
        <v>8</v>
      </c>
      <c r="B7" s="1" t="s">
        <v>11</v>
      </c>
      <c r="C7">
        <v>0.82199999999999995</v>
      </c>
      <c r="D7">
        <v>9.6000000000000002E-2</v>
      </c>
      <c r="E7">
        <v>4.4999999999999998E-2</v>
      </c>
      <c r="F7">
        <v>7.0000000000000001E-3</v>
      </c>
      <c r="G7">
        <v>1.2999999999999999E-2</v>
      </c>
      <c r="H7">
        <v>1.7000000000000001E-2</v>
      </c>
    </row>
    <row r="8" spans="1:8" x14ac:dyDescent="0.25">
      <c r="A8" s="1" t="s">
        <v>27</v>
      </c>
      <c r="B8" s="1" t="s">
        <v>31</v>
      </c>
      <c r="C8">
        <v>0.95399999999999996</v>
      </c>
      <c r="D8">
        <v>0.03</v>
      </c>
      <c r="E8">
        <v>1.0999999999999999E-2</v>
      </c>
      <c r="F8">
        <v>4.0000000000000001E-3</v>
      </c>
      <c r="G8">
        <v>0</v>
      </c>
      <c r="H8">
        <v>1E-3</v>
      </c>
    </row>
    <row r="9" spans="1:8" x14ac:dyDescent="0.25">
      <c r="A9" s="1" t="s">
        <v>18</v>
      </c>
      <c r="B9" s="1" t="s">
        <v>20</v>
      </c>
      <c r="C9">
        <v>0.84799999999999998</v>
      </c>
      <c r="D9">
        <v>7.9000000000000001E-2</v>
      </c>
      <c r="E9">
        <v>2.3E-2</v>
      </c>
      <c r="F9">
        <v>4.9000000000000002E-2</v>
      </c>
      <c r="G9">
        <v>0</v>
      </c>
      <c r="H9">
        <v>1E-3</v>
      </c>
    </row>
    <row r="10" spans="1:8" x14ac:dyDescent="0.25">
      <c r="A10" s="1" t="s">
        <v>27</v>
      </c>
      <c r="B10" s="1" t="s">
        <v>30</v>
      </c>
      <c r="C10">
        <v>0.879</v>
      </c>
      <c r="D10">
        <v>7.2999999999999995E-2</v>
      </c>
      <c r="E10">
        <v>3.6999999999999998E-2</v>
      </c>
      <c r="F10">
        <v>8.9999999999999993E-3</v>
      </c>
      <c r="G10">
        <v>0</v>
      </c>
      <c r="H10">
        <v>1E-3</v>
      </c>
    </row>
    <row r="11" spans="1:8" x14ac:dyDescent="0.25">
      <c r="A11" s="1" t="s">
        <v>8</v>
      </c>
      <c r="B11" s="1" t="s">
        <v>9</v>
      </c>
      <c r="C11">
        <v>0.74099999999999999</v>
      </c>
      <c r="D11">
        <v>0.17299999999999999</v>
      </c>
      <c r="E11">
        <v>6.7000000000000004E-2</v>
      </c>
      <c r="F11">
        <v>0.01</v>
      </c>
      <c r="G11">
        <v>1E-3</v>
      </c>
      <c r="H11">
        <v>8.9999999999999993E-3</v>
      </c>
    </row>
    <row r="12" spans="1:8" x14ac:dyDescent="0.25">
      <c r="A12" s="1" t="s">
        <v>27</v>
      </c>
      <c r="B12" s="1" t="s">
        <v>29</v>
      </c>
      <c r="C12">
        <v>0.83399999999999996</v>
      </c>
      <c r="D12">
        <v>0.11600000000000001</v>
      </c>
      <c r="E12">
        <v>3.4000000000000002E-2</v>
      </c>
      <c r="F12">
        <v>1.2999999999999999E-2</v>
      </c>
      <c r="G12">
        <v>0</v>
      </c>
      <c r="H12">
        <v>3.0000000000000001E-3</v>
      </c>
    </row>
    <row r="13" spans="1:8" x14ac:dyDescent="0.25">
      <c r="A13" s="1" t="s">
        <v>27</v>
      </c>
      <c r="B13" s="1" t="s">
        <v>28</v>
      </c>
      <c r="C13">
        <v>0.89400000000000002</v>
      </c>
      <c r="D13">
        <v>9.0999999999999998E-2</v>
      </c>
      <c r="E13">
        <v>8.0000000000000002E-3</v>
      </c>
      <c r="F13">
        <v>5.0000000000000001E-3</v>
      </c>
      <c r="G13">
        <v>0</v>
      </c>
      <c r="H13">
        <v>2E-3</v>
      </c>
    </row>
    <row r="14" spans="1:8" x14ac:dyDescent="0.25">
      <c r="A14" s="1" t="s">
        <v>18</v>
      </c>
      <c r="B14" s="1" t="s">
        <v>19</v>
      </c>
      <c r="C14">
        <v>0.86799999999999999</v>
      </c>
      <c r="D14">
        <v>4.9000000000000002E-2</v>
      </c>
      <c r="E14">
        <v>2.1000000000000001E-2</v>
      </c>
      <c r="F14">
        <v>5.8999999999999997E-2</v>
      </c>
      <c r="G14">
        <v>1E-3</v>
      </c>
      <c r="H14">
        <v>3.0000000000000001E-3</v>
      </c>
    </row>
    <row r="15" spans="1:8" x14ac:dyDescent="0.25">
      <c r="A15" s="1" t="s">
        <v>0</v>
      </c>
      <c r="B15" s="1" t="s">
        <v>5</v>
      </c>
      <c r="C15">
        <v>0.497</v>
      </c>
      <c r="D15">
        <v>0.307</v>
      </c>
      <c r="E15">
        <v>0.123</v>
      </c>
      <c r="F15">
        <v>2.9000000000000001E-2</v>
      </c>
      <c r="G15">
        <v>1E-3</v>
      </c>
      <c r="H15">
        <v>4.2999999999999997E-2</v>
      </c>
    </row>
    <row r="16" spans="1:8" x14ac:dyDescent="0.25">
      <c r="A16" s="1" t="s">
        <v>8</v>
      </c>
      <c r="B16" s="1" t="s">
        <v>13</v>
      </c>
      <c r="C16">
        <v>0.71</v>
      </c>
      <c r="D16">
        <v>0.10100000000000001</v>
      </c>
      <c r="E16">
        <v>3.1E-2</v>
      </c>
      <c r="F16">
        <v>8.0000000000000002E-3</v>
      </c>
      <c r="G16">
        <v>8.5000000000000006E-2</v>
      </c>
      <c r="H16">
        <v>6.6000000000000003E-2</v>
      </c>
    </row>
    <row r="17" spans="1:8" x14ac:dyDescent="0.25">
      <c r="A17" s="1" t="s">
        <v>23</v>
      </c>
      <c r="B17" s="1" t="s">
        <v>24</v>
      </c>
      <c r="C17">
        <v>0.89400000000000002</v>
      </c>
      <c r="D17">
        <v>5.1999999999999998E-2</v>
      </c>
      <c r="E17">
        <v>1.6E-2</v>
      </c>
      <c r="F17">
        <v>3.6999999999999998E-2</v>
      </c>
      <c r="G17">
        <v>0</v>
      </c>
      <c r="H17">
        <v>1E-3</v>
      </c>
    </row>
    <row r="18" spans="1:8" x14ac:dyDescent="0.25">
      <c r="A18" s="1" t="s">
        <v>8</v>
      </c>
      <c r="B18" s="1" t="s">
        <v>14</v>
      </c>
      <c r="C18">
        <v>0.75800000000000001</v>
      </c>
      <c r="D18">
        <v>0.11</v>
      </c>
      <c r="E18">
        <v>3.7999999999999999E-2</v>
      </c>
      <c r="F18">
        <v>8.0000000000000002E-3</v>
      </c>
      <c r="G18">
        <v>2.5999999999999999E-2</v>
      </c>
      <c r="H18">
        <v>0.06</v>
      </c>
    </row>
    <row r="19" spans="1:8" x14ac:dyDescent="0.25">
      <c r="A19" s="1" t="s">
        <v>8</v>
      </c>
      <c r="B19" s="1" t="s">
        <v>10</v>
      </c>
      <c r="C19">
        <v>0.80700000000000005</v>
      </c>
      <c r="D19">
        <v>0.11899999999999999</v>
      </c>
      <c r="E19">
        <v>2.1999999999999999E-2</v>
      </c>
      <c r="F19">
        <v>8.0000000000000002E-3</v>
      </c>
      <c r="G19">
        <v>0.02</v>
      </c>
      <c r="H19">
        <v>2.4E-2</v>
      </c>
    </row>
    <row r="20" spans="1:8" x14ac:dyDescent="0.25">
      <c r="A20" s="1" t="s">
        <v>18</v>
      </c>
      <c r="B20" s="1" t="s">
        <v>21</v>
      </c>
      <c r="C20">
        <v>0.87</v>
      </c>
      <c r="D20">
        <v>9.7000000000000003E-2</v>
      </c>
      <c r="E20">
        <v>1.0999999999999999E-2</v>
      </c>
      <c r="F20">
        <v>1.2999999999999999E-2</v>
      </c>
      <c r="G20">
        <v>0</v>
      </c>
      <c r="H20">
        <v>8.9999999999999993E-3</v>
      </c>
    </row>
    <row r="21" spans="1:8" x14ac:dyDescent="0.25">
      <c r="A21" s="1" t="s">
        <v>8</v>
      </c>
      <c r="B21" s="1" t="s">
        <v>12</v>
      </c>
      <c r="C21">
        <v>0.89400000000000002</v>
      </c>
      <c r="D21">
        <v>3.7999999999999999E-2</v>
      </c>
      <c r="E21">
        <v>2.1999999999999999E-2</v>
      </c>
      <c r="F21">
        <v>4.0000000000000001E-3</v>
      </c>
      <c r="G21">
        <v>5.0000000000000001E-3</v>
      </c>
      <c r="H21">
        <v>3.6999999999999998E-2</v>
      </c>
    </row>
    <row r="22" spans="1:8" x14ac:dyDescent="0.25">
      <c r="A22" s="1" t="s">
        <v>23</v>
      </c>
      <c r="B22" s="1" t="s">
        <v>26</v>
      </c>
      <c r="C22">
        <v>0.88100000000000001</v>
      </c>
      <c r="D22">
        <v>8.5000000000000006E-2</v>
      </c>
      <c r="E22">
        <v>1.9E-2</v>
      </c>
      <c r="F22">
        <v>1.4E-2</v>
      </c>
      <c r="G22">
        <v>0</v>
      </c>
      <c r="H22">
        <v>1E-3</v>
      </c>
    </row>
    <row r="23" spans="1:8" x14ac:dyDescent="0.25">
      <c r="A23" s="1" t="s">
        <v>0</v>
      </c>
      <c r="B23" s="1" t="s">
        <v>1</v>
      </c>
      <c r="C23">
        <v>0.47399999999999998</v>
      </c>
      <c r="D23">
        <v>0.251</v>
      </c>
      <c r="E23">
        <v>0.25</v>
      </c>
      <c r="F23">
        <v>2.3E-2</v>
      </c>
      <c r="G23">
        <v>0</v>
      </c>
      <c r="H23">
        <v>1E-3</v>
      </c>
    </row>
    <row r="24" spans="1:8" x14ac:dyDescent="0.25">
      <c r="A24" s="1" t="s">
        <v>0</v>
      </c>
      <c r="B24" s="1" t="s">
        <v>4</v>
      </c>
      <c r="C24">
        <v>0.873</v>
      </c>
      <c r="D24">
        <v>0.06</v>
      </c>
      <c r="E24">
        <v>6.5000000000000002E-2</v>
      </c>
      <c r="F24">
        <v>1E-3</v>
      </c>
      <c r="G24">
        <v>0</v>
      </c>
      <c r="H24">
        <v>1E-3</v>
      </c>
    </row>
    <row r="25" spans="1:8" x14ac:dyDescent="0.25">
      <c r="A25" s="1" t="s">
        <v>23</v>
      </c>
      <c r="B25" s="1" t="s">
        <v>25</v>
      </c>
      <c r="C25">
        <v>0.83</v>
      </c>
      <c r="D25">
        <v>8.5999999999999993E-2</v>
      </c>
      <c r="E25">
        <v>2.9000000000000001E-2</v>
      </c>
      <c r="F25">
        <v>5.3999999999999999E-2</v>
      </c>
      <c r="G25">
        <v>0</v>
      </c>
      <c r="H25">
        <v>1E-3</v>
      </c>
    </row>
    <row r="26" spans="1:8" x14ac:dyDescent="0.25">
      <c r="A26" s="1" t="s">
        <v>18</v>
      </c>
      <c r="B26" s="1" t="s">
        <v>22</v>
      </c>
      <c r="C26">
        <v>0.96</v>
      </c>
      <c r="D26">
        <v>2.1999999999999999E-2</v>
      </c>
      <c r="E26">
        <v>8.0000000000000002E-3</v>
      </c>
      <c r="F26">
        <v>8.9999999999999993E-3</v>
      </c>
      <c r="G26">
        <v>0</v>
      </c>
      <c r="H26">
        <v>1E-3</v>
      </c>
    </row>
    <row r="27" spans="1:8" x14ac:dyDescent="0.25">
      <c r="A27" s="1" t="s">
        <v>8</v>
      </c>
      <c r="B27" s="1" t="s">
        <v>16</v>
      </c>
      <c r="C27">
        <v>0.874</v>
      </c>
      <c r="D27">
        <v>4.1000000000000002E-2</v>
      </c>
      <c r="E27">
        <v>4.2999999999999997E-2</v>
      </c>
      <c r="F27">
        <v>4.0000000000000001E-3</v>
      </c>
      <c r="G27">
        <v>6.0000000000000001E-3</v>
      </c>
      <c r="H27">
        <v>3.3000000000000002E-2</v>
      </c>
    </row>
    <row r="28" spans="1:8" x14ac:dyDescent="0.25">
      <c r="A28" s="1" t="s">
        <v>0</v>
      </c>
      <c r="B28" s="1" t="s">
        <v>7</v>
      </c>
      <c r="C28">
        <v>0.85199999999999998</v>
      </c>
      <c r="D28">
        <v>7.4999999999999997E-2</v>
      </c>
      <c r="E28">
        <v>4.8000000000000001E-2</v>
      </c>
      <c r="F28">
        <v>2.1999999999999999E-2</v>
      </c>
      <c r="G28">
        <v>0</v>
      </c>
      <c r="H28">
        <v>3.0000000000000001E-3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37E6-C763-4149-B6E4-7750123902C7}">
  <sheetPr codeName="Planilha8"/>
  <dimension ref="A1:D28"/>
  <sheetViews>
    <sheetView workbookViewId="0">
      <selection activeCell="E70" sqref="E70"/>
    </sheetView>
  </sheetViews>
  <sheetFormatPr defaultRowHeight="15" x14ac:dyDescent="0.25"/>
  <cols>
    <col min="1" max="1" width="13.140625" bestFit="1" customWidth="1"/>
    <col min="2" max="2" width="19.28515625" bestFit="1" customWidth="1"/>
    <col min="3" max="3" width="15" bestFit="1" customWidth="1"/>
    <col min="4" max="4" width="15" style="5" bestFit="1" customWidth="1"/>
    <col min="5" max="5" width="19.85546875" bestFit="1" customWidth="1"/>
    <col min="6" max="6" width="20.5703125" bestFit="1" customWidth="1"/>
    <col min="7" max="7" width="19.28515625" bestFit="1" customWidth="1"/>
    <col min="8" max="8" width="11.140625" customWidth="1"/>
  </cols>
  <sheetData>
    <row r="1" spans="1:4" x14ac:dyDescent="0.25">
      <c r="A1" t="s">
        <v>32</v>
      </c>
      <c r="B1" t="s">
        <v>33</v>
      </c>
      <c r="C1" s="5" t="s">
        <v>35</v>
      </c>
      <c r="D1"/>
    </row>
    <row r="2" spans="1:4" x14ac:dyDescent="0.25">
      <c r="A2" s="1" t="s">
        <v>0</v>
      </c>
      <c r="B2" s="1" t="s">
        <v>2</v>
      </c>
      <c r="C2" s="5">
        <v>2219</v>
      </c>
      <c r="D2"/>
    </row>
    <row r="3" spans="1:4" x14ac:dyDescent="0.25">
      <c r="A3" s="1" t="s">
        <v>8</v>
      </c>
      <c r="B3" s="1" t="s">
        <v>15</v>
      </c>
      <c r="C3" s="5">
        <v>1780</v>
      </c>
      <c r="D3"/>
    </row>
    <row r="4" spans="1:4" x14ac:dyDescent="0.25">
      <c r="A4" s="1" t="s">
        <v>0</v>
      </c>
      <c r="B4" s="1" t="s">
        <v>6</v>
      </c>
      <c r="C4" s="5">
        <v>2361</v>
      </c>
      <c r="D4"/>
    </row>
    <row r="5" spans="1:4" x14ac:dyDescent="0.25">
      <c r="A5" s="1" t="s">
        <v>0</v>
      </c>
      <c r="B5" s="1" t="s">
        <v>3</v>
      </c>
      <c r="C5" s="5">
        <v>1988</v>
      </c>
      <c r="D5"/>
    </row>
    <row r="6" spans="1:4" x14ac:dyDescent="0.25">
      <c r="A6" s="1" t="s">
        <v>8</v>
      </c>
      <c r="B6" s="1" t="s">
        <v>17</v>
      </c>
      <c r="C6" s="5">
        <v>1662</v>
      </c>
      <c r="D6"/>
    </row>
    <row r="7" spans="1:4" x14ac:dyDescent="0.25">
      <c r="A7" s="1" t="s">
        <v>8</v>
      </c>
      <c r="B7" s="1" t="s">
        <v>11</v>
      </c>
      <c r="C7" s="5">
        <v>1790</v>
      </c>
      <c r="D7"/>
    </row>
    <row r="8" spans="1:4" x14ac:dyDescent="0.25">
      <c r="A8" s="1" t="s">
        <v>27</v>
      </c>
      <c r="B8" s="1" t="s">
        <v>31</v>
      </c>
      <c r="C8" s="5">
        <v>4403</v>
      </c>
      <c r="D8"/>
    </row>
    <row r="9" spans="1:4" x14ac:dyDescent="0.25">
      <c r="A9" s="1" t="s">
        <v>18</v>
      </c>
      <c r="B9" s="1" t="s">
        <v>20</v>
      </c>
      <c r="C9" s="5">
        <v>2644</v>
      </c>
      <c r="D9"/>
    </row>
    <row r="10" spans="1:4" x14ac:dyDescent="0.25">
      <c r="A10" s="1" t="s">
        <v>27</v>
      </c>
      <c r="B10" s="1" t="s">
        <v>30</v>
      </c>
      <c r="C10" s="5">
        <v>2545</v>
      </c>
      <c r="D10"/>
    </row>
    <row r="11" spans="1:4" x14ac:dyDescent="0.25">
      <c r="A11" s="1" t="s">
        <v>8</v>
      </c>
      <c r="B11" s="1" t="s">
        <v>9</v>
      </c>
      <c r="C11" s="5">
        <v>1663</v>
      </c>
      <c r="D11"/>
    </row>
    <row r="12" spans="1:4" x14ac:dyDescent="0.25">
      <c r="A12" s="1" t="s">
        <v>27</v>
      </c>
      <c r="B12" s="1" t="s">
        <v>29</v>
      </c>
      <c r="C12" s="5">
        <v>2853</v>
      </c>
      <c r="D12"/>
    </row>
    <row r="13" spans="1:4" x14ac:dyDescent="0.25">
      <c r="A13" s="1" t="s">
        <v>27</v>
      </c>
      <c r="B13" s="1" t="s">
        <v>28</v>
      </c>
      <c r="C13" s="5">
        <v>2982</v>
      </c>
      <c r="D13"/>
    </row>
    <row r="14" spans="1:4" x14ac:dyDescent="0.25">
      <c r="A14" s="1" t="s">
        <v>18</v>
      </c>
      <c r="B14" s="1" t="s">
        <v>19</v>
      </c>
      <c r="C14" s="5">
        <v>2336</v>
      </c>
      <c r="D14"/>
    </row>
    <row r="15" spans="1:4" x14ac:dyDescent="0.25">
      <c r="A15" s="1" t="s">
        <v>0</v>
      </c>
      <c r="B15" s="1" t="s">
        <v>5</v>
      </c>
      <c r="C15" s="5">
        <v>1911</v>
      </c>
      <c r="D15"/>
    </row>
    <row r="16" spans="1:4" x14ac:dyDescent="0.25">
      <c r="A16" s="1" t="s">
        <v>8</v>
      </c>
      <c r="B16" s="1" t="s">
        <v>13</v>
      </c>
      <c r="C16" s="5">
        <v>2107</v>
      </c>
      <c r="D16"/>
    </row>
    <row r="17" spans="1:4" x14ac:dyDescent="0.25">
      <c r="A17" s="1" t="s">
        <v>23</v>
      </c>
      <c r="B17" s="1" t="s">
        <v>24</v>
      </c>
      <c r="C17" s="5">
        <v>2915</v>
      </c>
      <c r="D17"/>
    </row>
    <row r="18" spans="1:4" x14ac:dyDescent="0.25">
      <c r="A18" s="1" t="s">
        <v>8</v>
      </c>
      <c r="B18" s="1" t="s">
        <v>14</v>
      </c>
      <c r="C18" s="5">
        <v>1813</v>
      </c>
      <c r="D18"/>
    </row>
    <row r="19" spans="1:4" x14ac:dyDescent="0.25">
      <c r="A19" s="1" t="s">
        <v>8</v>
      </c>
      <c r="B19" s="1" t="s">
        <v>10</v>
      </c>
      <c r="C19" s="5">
        <v>1939</v>
      </c>
      <c r="D19"/>
    </row>
    <row r="20" spans="1:4" x14ac:dyDescent="0.25">
      <c r="A20" s="1" t="s">
        <v>18</v>
      </c>
      <c r="B20" s="1" t="s">
        <v>21</v>
      </c>
      <c r="C20" s="5">
        <v>3207</v>
      </c>
      <c r="D20"/>
    </row>
    <row r="21" spans="1:4" x14ac:dyDescent="0.25">
      <c r="A21" s="1" t="s">
        <v>8</v>
      </c>
      <c r="B21" s="1" t="s">
        <v>12</v>
      </c>
      <c r="C21" s="5">
        <v>2216</v>
      </c>
      <c r="D21"/>
    </row>
    <row r="22" spans="1:4" x14ac:dyDescent="0.25">
      <c r="A22" s="1" t="s">
        <v>23</v>
      </c>
      <c r="B22" s="1" t="s">
        <v>26</v>
      </c>
      <c r="C22" s="5">
        <v>2963</v>
      </c>
      <c r="D22"/>
    </row>
    <row r="23" spans="1:4" x14ac:dyDescent="0.25">
      <c r="A23" s="1" t="s">
        <v>0</v>
      </c>
      <c r="B23" s="1" t="s">
        <v>1</v>
      </c>
      <c r="C23" s="5">
        <v>2334</v>
      </c>
      <c r="D23"/>
    </row>
    <row r="24" spans="1:4" x14ac:dyDescent="0.25">
      <c r="A24" s="1" t="s">
        <v>0</v>
      </c>
      <c r="B24" s="1" t="s">
        <v>4</v>
      </c>
      <c r="C24" s="5">
        <v>2540</v>
      </c>
      <c r="D24"/>
    </row>
    <row r="25" spans="1:4" x14ac:dyDescent="0.25">
      <c r="A25" s="1" t="s">
        <v>23</v>
      </c>
      <c r="B25" s="1" t="s">
        <v>25</v>
      </c>
      <c r="C25" s="5">
        <v>3030</v>
      </c>
      <c r="D25"/>
    </row>
    <row r="26" spans="1:4" x14ac:dyDescent="0.25">
      <c r="A26" s="1" t="s">
        <v>18</v>
      </c>
      <c r="B26" s="1" t="s">
        <v>22</v>
      </c>
      <c r="C26" s="5">
        <v>3254</v>
      </c>
      <c r="D26"/>
    </row>
    <row r="27" spans="1:4" x14ac:dyDescent="0.25">
      <c r="A27" s="1" t="s">
        <v>8</v>
      </c>
      <c r="B27" s="1" t="s">
        <v>16</v>
      </c>
      <c r="C27" s="5">
        <v>2030</v>
      </c>
      <c r="D27"/>
    </row>
    <row r="28" spans="1:4" x14ac:dyDescent="0.25">
      <c r="A28" s="1" t="s">
        <v>0</v>
      </c>
      <c r="B28" s="1" t="s">
        <v>7</v>
      </c>
      <c r="C28" s="5">
        <v>2432</v>
      </c>
      <c r="D28"/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A6E9-3A8A-4CC9-9CED-1551F1DB9FF8}">
  <sheetPr codeName="Planilha9"/>
  <dimension ref="A1"/>
  <sheetViews>
    <sheetView showGridLines="0" showRowColHeaders="0" workbookViewId="0">
      <selection activeCell="V21" sqref="V2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PerfilSocioeconômico">
                <anchor moveWithCells="1" sizeWithCells="1">
                  <from>
                    <xdr:col>1</xdr:col>
                    <xdr:colOff>9525</xdr:colOff>
                    <xdr:row>8</xdr:row>
                    <xdr:rowOff>152400</xdr:rowOff>
                  </from>
                  <to>
                    <xdr:col>7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Avaliation">
                <anchor moveWithCells="1" sizeWithCells="1">
                  <from>
                    <xdr:col>10</xdr:col>
                    <xdr:colOff>19050</xdr:colOff>
                    <xdr:row>8</xdr:row>
                    <xdr:rowOff>152400</xdr:rowOff>
                  </from>
                  <to>
                    <xdr:col>16</xdr:col>
                    <xdr:colOff>609600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ReexibirTabelas">
                <anchor moveWithCells="1" sizeWithCells="1">
                  <from>
                    <xdr:col>1</xdr:col>
                    <xdr:colOff>9525</xdr:colOff>
                    <xdr:row>20</xdr:row>
                    <xdr:rowOff>171450</xdr:rowOff>
                  </from>
                  <to>
                    <xdr:col>7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OcultarTabelas">
                <anchor moveWithCells="1" sizeWithCells="1">
                  <from>
                    <xdr:col>10</xdr:col>
                    <xdr:colOff>19050</xdr:colOff>
                    <xdr:row>20</xdr:row>
                    <xdr:rowOff>171450</xdr:rowOff>
                  </from>
                  <to>
                    <xdr:col>16</xdr:col>
                    <xdr:colOff>609600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FB9C0-A1DB-4AFC-917A-314FD435EFF2}">
  <sheetPr codeName="Planilha10"/>
  <dimension ref="A1:DX55"/>
  <sheetViews>
    <sheetView showGridLines="0" showRowColHeaders="0" tabSelected="1" zoomScaleNormal="100" workbookViewId="0">
      <selection activeCell="DB17" sqref="DB17:DR19"/>
    </sheetView>
  </sheetViews>
  <sheetFormatPr defaultColWidth="2.140625" defaultRowHeight="11.25" customHeight="1" x14ac:dyDescent="0.25"/>
  <sheetData>
    <row r="1" spans="1:128" ht="11.25" customHeight="1" x14ac:dyDescent="0.25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</row>
    <row r="2" spans="1:128" ht="11.25" customHeight="1" x14ac:dyDescent="0.25">
      <c r="A2" s="76" t="s">
        <v>121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</row>
    <row r="3" spans="1:128" ht="11.25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</row>
    <row r="4" spans="1:128" ht="11.25" customHeight="1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</row>
    <row r="5" spans="1:128" ht="11.25" customHeight="1" x14ac:dyDescent="0.25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</row>
    <row r="6" spans="1:128" ht="11.25" customHeight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</row>
    <row r="7" spans="1:128" ht="11.25" customHeight="1" x14ac:dyDescent="0.25">
      <c r="B7" s="6"/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8"/>
      <c r="V7" s="8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6" t="s">
        <v>65</v>
      </c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18"/>
      <c r="AY7" s="18"/>
      <c r="AZ7" s="18"/>
      <c r="BA7" s="77" cm="1">
        <f t="array" ref="BA7">AVERAGE(IF(Renda_Média[Região]=DB17,Renda_Média[Renda Média]))</f>
        <v>1888.8888888888889</v>
      </c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21"/>
      <c r="BQ7" s="21"/>
      <c r="BR7" s="14"/>
      <c r="BS7" s="14"/>
      <c r="BT7" s="14"/>
      <c r="BU7" s="14"/>
      <c r="BV7" s="14"/>
      <c r="BW7" s="14"/>
      <c r="BX7" s="14"/>
      <c r="BY7" s="14"/>
      <c r="BZ7" s="14"/>
    </row>
    <row r="8" spans="1:128" ht="11.25" customHeight="1" x14ac:dyDescent="0.25">
      <c r="B8" s="6"/>
      <c r="C8" s="7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8"/>
      <c r="V8" s="8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16"/>
      <c r="AJ8" s="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17"/>
      <c r="AY8" s="17"/>
      <c r="AZ8" s="1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21"/>
      <c r="BQ8" s="21"/>
      <c r="BR8" s="15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</row>
    <row r="9" spans="1:128" ht="11.25" customHeight="1" x14ac:dyDescent="0.25">
      <c r="B9" s="6"/>
      <c r="C9" s="7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8"/>
      <c r="V9" s="8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16"/>
      <c r="AI9" s="16"/>
      <c r="AJ9" s="1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17"/>
      <c r="AY9" s="17"/>
      <c r="AZ9" s="1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21"/>
      <c r="BQ9" s="21"/>
      <c r="BR9" s="15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</row>
    <row r="10" spans="1:128" ht="11.25" customHeight="1" x14ac:dyDescent="0.25">
      <c r="B10" s="6"/>
      <c r="C10" s="7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10"/>
      <c r="V10" s="10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</row>
    <row r="11" spans="1:128" ht="11.25" customHeight="1" x14ac:dyDescent="0.25">
      <c r="B11" s="6"/>
      <c r="C11" s="6"/>
      <c r="D11" s="9"/>
      <c r="E11" s="9"/>
      <c r="F11" s="6"/>
      <c r="G11" s="9"/>
      <c r="H11" s="9"/>
      <c r="I11" s="9"/>
      <c r="J11" s="9"/>
      <c r="K11" s="9"/>
      <c r="L11" s="9"/>
      <c r="M11" s="9"/>
      <c r="N11" s="6"/>
      <c r="O11" s="6"/>
      <c r="P11" s="6"/>
      <c r="Q11" s="10"/>
      <c r="R11" s="10"/>
      <c r="S11" s="10"/>
      <c r="T11" s="10"/>
      <c r="U11" s="10"/>
      <c r="V11" s="10"/>
      <c r="W11" s="10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</row>
    <row r="12" spans="1:128" ht="11.25" customHeight="1" x14ac:dyDescent="0.25">
      <c r="B12" s="6"/>
      <c r="C12" s="6"/>
      <c r="D12" s="6"/>
      <c r="E12" s="6"/>
      <c r="F12" s="9"/>
      <c r="G12" s="9"/>
      <c r="H12" s="9"/>
      <c r="I12" s="9"/>
      <c r="J12" s="9"/>
      <c r="K12" s="9"/>
      <c r="L12" s="9"/>
      <c r="M12" s="6"/>
      <c r="N12" s="6"/>
      <c r="O12" s="6"/>
      <c r="P12" s="10"/>
      <c r="Q12" s="10"/>
      <c r="R12" s="10"/>
      <c r="S12" s="10"/>
      <c r="T12" s="10"/>
      <c r="U12" s="10"/>
      <c r="V12" s="10"/>
      <c r="W12" s="10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</row>
    <row r="13" spans="1:128" ht="11.25" customHeight="1" x14ac:dyDescent="0.25">
      <c r="B13" s="6"/>
      <c r="C13" s="6"/>
      <c r="D13" s="6"/>
      <c r="E13" s="6"/>
      <c r="F13" s="6"/>
      <c r="G13" s="11"/>
      <c r="H13" s="11"/>
      <c r="I13" s="6"/>
      <c r="J13" s="11"/>
      <c r="K13" s="11"/>
      <c r="L13" s="11"/>
      <c r="M13" s="11"/>
      <c r="N13" s="11"/>
      <c r="O13" s="11"/>
      <c r="P13" s="11"/>
      <c r="Q13" s="11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19"/>
      <c r="DT13" s="19"/>
      <c r="DU13" s="19"/>
      <c r="DV13" s="19"/>
      <c r="DW13" s="19"/>
      <c r="DX13" s="19"/>
    </row>
    <row r="14" spans="1:128" ht="11.25" customHeight="1" x14ac:dyDescent="0.25">
      <c r="B14" s="6"/>
      <c r="C14" s="6"/>
      <c r="D14" s="6"/>
      <c r="E14" s="6"/>
      <c r="F14" s="11"/>
      <c r="G14" s="11"/>
      <c r="H14" s="11"/>
      <c r="I14" s="6"/>
      <c r="J14" s="11"/>
      <c r="K14" s="11"/>
      <c r="L14" s="11"/>
      <c r="M14" s="11"/>
      <c r="N14" s="11"/>
      <c r="O14" s="11"/>
      <c r="P14" s="11"/>
      <c r="Q14" s="11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19"/>
      <c r="DT14" s="19"/>
      <c r="DU14" s="19"/>
      <c r="DV14" s="19"/>
      <c r="DW14" s="19"/>
      <c r="DX14" s="19"/>
    </row>
    <row r="15" spans="1:128" ht="11.25" customHeight="1" x14ac:dyDescent="0.25">
      <c r="B15" s="6"/>
      <c r="C15" s="6"/>
      <c r="D15" s="6"/>
      <c r="E15" s="6"/>
      <c r="F15" s="6"/>
      <c r="G15" s="6"/>
      <c r="H15" s="6"/>
      <c r="I15" s="11"/>
      <c r="J15" s="11"/>
      <c r="K15" s="11"/>
      <c r="L15" s="11"/>
      <c r="M15" s="11"/>
      <c r="N15" s="11"/>
      <c r="O15" s="11"/>
      <c r="P15" s="11"/>
      <c r="Q15" s="11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10"/>
      <c r="BC15" s="10"/>
      <c r="BD15" s="10"/>
      <c r="BE15" s="10"/>
      <c r="BF15" s="10"/>
      <c r="BG15" s="10"/>
      <c r="BH15" s="10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19"/>
      <c r="DT15" s="19"/>
      <c r="DU15" s="19"/>
      <c r="DV15" s="19"/>
      <c r="DW15" s="19"/>
      <c r="DX15" s="19"/>
    </row>
    <row r="16" spans="1:128" ht="11.25" customHeight="1" thickBot="1" x14ac:dyDescent="0.3">
      <c r="B16" s="6"/>
      <c r="C16" s="6"/>
      <c r="D16" s="6"/>
      <c r="E16" s="6"/>
      <c r="F16" s="6"/>
      <c r="G16" s="6"/>
      <c r="H16" s="6"/>
      <c r="I16" s="11"/>
      <c r="J16" s="11"/>
      <c r="K16" s="11"/>
      <c r="L16" s="11"/>
      <c r="M16" s="11"/>
      <c r="N16" s="11"/>
      <c r="O16" s="11"/>
      <c r="P16" s="11"/>
      <c r="Q16" s="11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10"/>
      <c r="BB16" s="10"/>
      <c r="BC16" s="10"/>
      <c r="BD16" s="10"/>
      <c r="BE16" s="10"/>
      <c r="BF16" s="10"/>
      <c r="BG16" s="10"/>
      <c r="BH16" s="10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6"/>
    </row>
    <row r="17" spans="2:128" ht="11.25" customHeight="1" x14ac:dyDescent="0.2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10"/>
      <c r="BB17" s="10"/>
      <c r="BC17" s="10"/>
      <c r="BD17" s="10"/>
      <c r="BE17" s="10"/>
      <c r="BF17" s="10"/>
      <c r="BG17" s="10"/>
      <c r="BH17" s="10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DB17" s="67" t="s">
        <v>8</v>
      </c>
      <c r="DC17" s="68"/>
      <c r="DD17" s="68"/>
      <c r="DE17" s="68"/>
      <c r="DF17" s="68"/>
      <c r="DG17" s="68"/>
      <c r="DH17" s="68"/>
      <c r="DI17" s="68"/>
      <c r="DJ17" s="68"/>
      <c r="DK17" s="68"/>
      <c r="DL17" s="68"/>
      <c r="DM17" s="68"/>
      <c r="DN17" s="68"/>
      <c r="DO17" s="68"/>
      <c r="DP17" s="68"/>
      <c r="DQ17" s="68"/>
      <c r="DR17" s="69"/>
      <c r="DS17" s="19"/>
      <c r="DT17" s="19"/>
      <c r="DU17" s="19"/>
      <c r="DV17" s="19"/>
      <c r="DW17" s="19"/>
      <c r="DX17" s="19"/>
    </row>
    <row r="18" spans="2:128" ht="11.25" customHeight="1" x14ac:dyDescent="0.25">
      <c r="B18" s="11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DB18" s="70"/>
      <c r="DC18" s="71"/>
      <c r="DD18" s="71"/>
      <c r="DE18" s="71"/>
      <c r="DF18" s="71"/>
      <c r="DG18" s="71"/>
      <c r="DH18" s="71"/>
      <c r="DI18" s="71"/>
      <c r="DJ18" s="71"/>
      <c r="DK18" s="71"/>
      <c r="DL18" s="71"/>
      <c r="DM18" s="71"/>
      <c r="DN18" s="71"/>
      <c r="DO18" s="71"/>
      <c r="DP18" s="71"/>
      <c r="DQ18" s="71"/>
      <c r="DR18" s="72"/>
      <c r="DS18" s="19"/>
      <c r="DT18" s="19"/>
      <c r="DU18" s="19"/>
      <c r="DV18" s="19"/>
      <c r="DW18" s="19"/>
      <c r="DX18" s="19"/>
    </row>
    <row r="19" spans="2:128" ht="11.25" customHeight="1" thickBot="1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DB19" s="73"/>
      <c r="DC19" s="74"/>
      <c r="DD19" s="74"/>
      <c r="DE19" s="74"/>
      <c r="DF19" s="74"/>
      <c r="DG19" s="74"/>
      <c r="DH19" s="74"/>
      <c r="DI19" s="74"/>
      <c r="DJ19" s="74"/>
      <c r="DK19" s="74"/>
      <c r="DL19" s="74"/>
      <c r="DM19" s="74"/>
      <c r="DN19" s="74"/>
      <c r="DO19" s="74"/>
      <c r="DP19" s="74"/>
      <c r="DQ19" s="74"/>
      <c r="DR19" s="75"/>
      <c r="DS19" s="19"/>
      <c r="DT19" s="19"/>
      <c r="DU19" s="19"/>
      <c r="DV19" s="19"/>
      <c r="DW19" s="19"/>
      <c r="DX19" s="19"/>
    </row>
    <row r="20" spans="2:128" ht="11.25" customHeight="1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</row>
    <row r="21" spans="2:128" ht="11.25" customHeight="1" x14ac:dyDescent="0.25">
      <c r="B21" s="6"/>
      <c r="C21" s="6"/>
      <c r="D21" s="6"/>
      <c r="E21" s="6"/>
      <c r="F21" s="12"/>
      <c r="G21" s="12"/>
      <c r="H21" s="12"/>
      <c r="I21" s="12"/>
      <c r="J21" s="12"/>
      <c r="K21" s="12"/>
      <c r="L21" s="13"/>
      <c r="M21" s="13"/>
      <c r="N21" s="13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</row>
    <row r="22" spans="2:128" ht="11.25" customHeight="1" x14ac:dyDescent="0.25">
      <c r="B22" s="6"/>
      <c r="C22" s="6"/>
      <c r="D22" s="6"/>
      <c r="E22" s="6"/>
      <c r="F22" s="12"/>
      <c r="G22" s="12"/>
      <c r="H22" s="12"/>
      <c r="I22" s="12"/>
      <c r="J22" s="12"/>
      <c r="K22" s="12"/>
      <c r="L22" s="13"/>
      <c r="M22" s="13"/>
      <c r="N22" s="13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</row>
    <row r="23" spans="2:128" ht="11.25" customHeight="1" x14ac:dyDescent="0.2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</row>
    <row r="24" spans="2:128" ht="11.25" customHeight="1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</row>
    <row r="25" spans="2:128" ht="11.25" customHeight="1" x14ac:dyDescent="0.2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</row>
    <row r="26" spans="2:128" ht="11.25" customHeigh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</row>
    <row r="27" spans="2:128" ht="11.25" customHeight="1" x14ac:dyDescent="0.2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</row>
    <row r="28" spans="2:128" ht="11.25" customHeight="1" x14ac:dyDescent="0.2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</row>
    <row r="29" spans="2:128" ht="11.25" customHeight="1" x14ac:dyDescent="0.2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</row>
    <row r="30" spans="2:128" ht="11.25" customHeight="1" x14ac:dyDescent="0.2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</row>
    <row r="31" spans="2:128" ht="11.25" customHeight="1" x14ac:dyDescent="0.2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</row>
    <row r="32" spans="2:128" ht="11.25" customHeight="1" x14ac:dyDescent="0.2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</row>
    <row r="33" spans="2:101" ht="11.25" customHeight="1" x14ac:dyDescent="0.2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</row>
    <row r="34" spans="2:101" ht="11.25" customHeight="1" x14ac:dyDescent="0.2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</row>
    <row r="35" spans="2:101" ht="11.25" customHeight="1" x14ac:dyDescent="0.2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</row>
    <row r="36" spans="2:101" ht="11.25" customHeight="1" x14ac:dyDescent="0.2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</row>
    <row r="37" spans="2:101" ht="11.25" customHeight="1" x14ac:dyDescent="0.2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</row>
    <row r="38" spans="2:101" ht="11.25" customHeight="1" x14ac:dyDescent="0.2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</row>
    <row r="39" spans="2:101" ht="11.25" customHeight="1" x14ac:dyDescent="0.2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</row>
    <row r="40" spans="2:101" ht="11.25" customHeight="1" x14ac:dyDescent="0.2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</row>
    <row r="41" spans="2:101" ht="11.25" customHeight="1" x14ac:dyDescent="0.25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</row>
    <row r="42" spans="2:101" ht="11.25" customHeight="1" x14ac:dyDescent="0.2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</row>
    <row r="43" spans="2:101" ht="11.25" customHeight="1" x14ac:dyDescent="0.2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</row>
    <row r="44" spans="2:101" ht="11.25" customHeight="1" x14ac:dyDescent="0.2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</row>
    <row r="45" spans="2:101" ht="11.25" customHeight="1" x14ac:dyDescent="0.2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</row>
    <row r="46" spans="2:101" ht="11.25" customHeight="1" x14ac:dyDescent="0.2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</row>
    <row r="47" spans="2:101" ht="11.25" customHeight="1" x14ac:dyDescent="0.2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</row>
    <row r="48" spans="2:101" ht="11.25" customHeight="1" x14ac:dyDescent="0.2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</row>
    <row r="49" spans="2:101" ht="11.25" customHeight="1" x14ac:dyDescent="0.2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</row>
    <row r="50" spans="2:101" ht="11.25" customHeight="1" x14ac:dyDescent="0.2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</row>
    <row r="51" spans="2:101" ht="11.25" customHeight="1" x14ac:dyDescent="0.2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</row>
    <row r="52" spans="2:101" ht="11.25" customHeight="1" x14ac:dyDescent="0.2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</row>
    <row r="53" spans="2:101" ht="11.25" customHeight="1" x14ac:dyDescent="0.25">
      <c r="AZ53" s="6"/>
      <c r="BA53" s="6"/>
    </row>
    <row r="54" spans="2:101" ht="11.25" customHeight="1" x14ac:dyDescent="0.25">
      <c r="AZ54" s="6"/>
      <c r="BA54" s="6"/>
    </row>
    <row r="55" spans="2:101" ht="11.25" customHeight="1" x14ac:dyDescent="0.25">
      <c r="AZ55" s="6"/>
      <c r="BA55" s="6"/>
    </row>
  </sheetData>
  <mergeCells count="4">
    <mergeCell ref="AK7:AW9"/>
    <mergeCell ref="DB17:DR19"/>
    <mergeCell ref="A2:DA6"/>
    <mergeCell ref="BA7:BO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Voltar">
                <anchor moveWithCells="1" sizeWithCells="1">
                  <from>
                    <xdr:col>104</xdr:col>
                    <xdr:colOff>133350</xdr:colOff>
                    <xdr:row>0</xdr:row>
                    <xdr:rowOff>47625</xdr:rowOff>
                  </from>
                  <to>
                    <xdr:col>120</xdr:col>
                    <xdr:colOff>114300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8E9F15-F69D-442B-83B5-A070FDD15F66}">
          <x14:formula1>
            <xm:f>'Fonte Dashboards'!$A$2:$A$6</xm:f>
          </x14:formula1>
          <xm:sqref>DB17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7802-60EF-4397-9366-55239A911B75}">
  <sheetPr codeName="Planilha11"/>
  <dimension ref="A1:CY62"/>
  <sheetViews>
    <sheetView showGridLines="0" showRowColHeaders="0" workbookViewId="0">
      <selection activeCell="AT39" sqref="AT39:BF45"/>
    </sheetView>
  </sheetViews>
  <sheetFormatPr defaultColWidth="2.140625" defaultRowHeight="9.75" customHeight="1" x14ac:dyDescent="0.25"/>
  <sheetData>
    <row r="1" spans="1:103" ht="9.75" customHeight="1" x14ac:dyDescent="0.25">
      <c r="A1" s="88" t="s">
        <v>130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</row>
    <row r="2" spans="1:103" ht="9.75" customHeigh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</row>
    <row r="3" spans="1:103" ht="9.75" customHeight="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</row>
    <row r="4" spans="1:103" ht="9.75" customHeight="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</row>
    <row r="5" spans="1:103" ht="9.75" customHeight="1" x14ac:dyDescent="0.25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</row>
    <row r="6" spans="1:103" ht="9.75" customHeight="1" x14ac:dyDescent="0.25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</row>
    <row r="7" spans="1:103" ht="9.75" customHeight="1" x14ac:dyDescent="0.25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</row>
    <row r="8" spans="1:103" ht="9.75" customHeight="1" x14ac:dyDescent="0.2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</row>
    <row r="9" spans="1:103" ht="9.75" customHeight="1" x14ac:dyDescent="0.2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</row>
    <row r="10" spans="1:103" ht="9.75" customHeight="1" x14ac:dyDescent="0.2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78" t="s">
        <v>35</v>
      </c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</row>
    <row r="11" spans="1:103" ht="9.75" customHeight="1" x14ac:dyDescent="0.2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</row>
    <row r="12" spans="1:103" ht="9.75" customHeight="1" x14ac:dyDescent="0.2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</row>
    <row r="13" spans="1:103" ht="9.75" customHeight="1" x14ac:dyDescent="0.2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</row>
    <row r="14" spans="1:103" ht="9.75" customHeight="1" x14ac:dyDescent="0.2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</row>
    <row r="15" spans="1:103" ht="9.75" customHeight="1" x14ac:dyDescent="0.2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4"/>
      <c r="AU15" s="64"/>
      <c r="AV15" s="64"/>
      <c r="AW15" s="64"/>
      <c r="AX15" s="63"/>
      <c r="AY15" s="64"/>
      <c r="AZ15" s="64"/>
      <c r="BA15" s="64"/>
      <c r="BB15" s="64"/>
      <c r="BC15" s="64"/>
      <c r="BD15" s="64"/>
      <c r="BE15" s="64"/>
      <c r="BF15" s="64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</row>
    <row r="16" spans="1:103" ht="9.75" customHeight="1" x14ac:dyDescent="0.2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</row>
    <row r="17" spans="1:103" ht="9.75" customHeight="1" x14ac:dyDescent="0.2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</row>
    <row r="18" spans="1:103" ht="9.75" customHeight="1" x14ac:dyDescent="0.25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</row>
    <row r="19" spans="1:103" ht="9.75" customHeight="1" x14ac:dyDescent="0.25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</row>
    <row r="20" spans="1:103" ht="9.75" customHeight="1" x14ac:dyDescent="0.2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</row>
    <row r="21" spans="1:103" ht="9.75" customHeight="1" x14ac:dyDescent="0.25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</row>
    <row r="22" spans="1:103" ht="9.75" customHeight="1" x14ac:dyDescent="0.25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</row>
    <row r="23" spans="1:103" ht="9.75" customHeight="1" x14ac:dyDescent="0.25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</row>
    <row r="24" spans="1:103" ht="9.75" customHeight="1" x14ac:dyDescent="0.25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</row>
    <row r="25" spans="1:103" ht="9.75" customHeight="1" x14ac:dyDescent="0.2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</row>
    <row r="26" spans="1:103" ht="9.75" customHeight="1" x14ac:dyDescent="0.2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</row>
    <row r="27" spans="1:103" ht="9.75" customHeight="1" x14ac:dyDescent="0.2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</row>
    <row r="28" spans="1:103" ht="9.75" customHeight="1" x14ac:dyDescent="0.2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</row>
    <row r="29" spans="1:103" ht="9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</row>
    <row r="30" spans="1:103" ht="9.75" customHeight="1" x14ac:dyDescent="0.2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</row>
    <row r="31" spans="1:103" ht="9.75" customHeight="1" x14ac:dyDescent="0.2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</row>
    <row r="32" spans="1:103" ht="9.75" customHeight="1" x14ac:dyDescent="0.2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</row>
    <row r="33" spans="1:103" ht="9.75" customHeight="1" x14ac:dyDescent="0.25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</row>
    <row r="34" spans="1:103" ht="9.75" customHeight="1" x14ac:dyDescent="0.2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</row>
    <row r="35" spans="1:103" ht="9.75" customHeight="1" x14ac:dyDescent="0.2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</row>
    <row r="36" spans="1:103" ht="9.75" customHeight="1" x14ac:dyDescent="0.25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</row>
    <row r="37" spans="1:103" ht="9.75" customHeight="1" x14ac:dyDescent="0.2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</row>
    <row r="38" spans="1:103" ht="9.75" customHeight="1" x14ac:dyDescent="0.2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</row>
    <row r="39" spans="1:103" ht="9.75" customHeight="1" x14ac:dyDescent="0.2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79" t="s">
        <v>127</v>
      </c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1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</row>
    <row r="40" spans="1:103" ht="9.75" customHeight="1" x14ac:dyDescent="0.25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82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4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</row>
    <row r="41" spans="1:103" ht="9.75" customHeight="1" x14ac:dyDescent="0.25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82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4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</row>
    <row r="42" spans="1:103" ht="9.75" customHeight="1" x14ac:dyDescent="0.2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82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4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</row>
    <row r="43" spans="1:103" ht="9.75" customHeight="1" x14ac:dyDescent="0.2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82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4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</row>
    <row r="44" spans="1:103" ht="9.75" customHeight="1" x14ac:dyDescent="0.2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82"/>
      <c r="AU44" s="83"/>
      <c r="AV44" s="83"/>
      <c r="AW44" s="83"/>
      <c r="AX44" s="83"/>
      <c r="AY44" s="83"/>
      <c r="AZ44" s="83"/>
      <c r="BA44" s="83"/>
      <c r="BB44" s="83"/>
      <c r="BC44" s="83"/>
      <c r="BD44" s="83"/>
      <c r="BE44" s="83"/>
      <c r="BF44" s="84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</row>
    <row r="45" spans="1:103" ht="9.75" customHeight="1" x14ac:dyDescent="0.2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85"/>
      <c r="AU45" s="86"/>
      <c r="AV45" s="86"/>
      <c r="AW45" s="86"/>
      <c r="AX45" s="86"/>
      <c r="AY45" s="86"/>
      <c r="AZ45" s="86"/>
      <c r="BA45" s="86"/>
      <c r="BB45" s="86"/>
      <c r="BC45" s="86"/>
      <c r="BD45" s="86"/>
      <c r="BE45" s="86"/>
      <c r="BF45" s="87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</row>
    <row r="46" spans="1:103" ht="9.75" customHeight="1" x14ac:dyDescent="0.2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5"/>
      <c r="BA46" s="65"/>
      <c r="BB46" s="65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</row>
    <row r="47" spans="1:103" ht="9.75" customHeight="1" x14ac:dyDescent="0.2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</row>
    <row r="48" spans="1:103" ht="9.75" customHeight="1" x14ac:dyDescent="0.2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</row>
    <row r="49" spans="1:103" ht="9.75" customHeight="1" x14ac:dyDescent="0.2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</row>
    <row r="50" spans="1:103" ht="9.75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</row>
    <row r="51" spans="1:103" ht="9.75" customHeight="1" x14ac:dyDescent="0.2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</row>
    <row r="52" spans="1:103" ht="9.75" customHeight="1" x14ac:dyDescent="0.2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</row>
    <row r="53" spans="1:103" ht="9.75" customHeight="1" x14ac:dyDescent="0.25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</row>
    <row r="54" spans="1:103" ht="9.75" customHeight="1" x14ac:dyDescent="0.25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</row>
    <row r="55" spans="1:103" ht="9.75" customHeight="1" x14ac:dyDescent="0.25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</row>
    <row r="56" spans="1:103" ht="9.75" customHeight="1" x14ac:dyDescent="0.25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</row>
    <row r="57" spans="1:103" ht="9.75" customHeight="1" x14ac:dyDescent="0.25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</row>
    <row r="58" spans="1:103" ht="9.75" customHeight="1" x14ac:dyDescent="0.25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</row>
    <row r="59" spans="1:103" ht="9.75" customHeight="1" x14ac:dyDescent="0.25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</row>
    <row r="60" spans="1:103" ht="9.75" customHeight="1" x14ac:dyDescent="0.25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</row>
    <row r="61" spans="1:103" ht="9.75" customHeight="1" x14ac:dyDescent="0.25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</row>
    <row r="62" spans="1:103" ht="9.75" customHeight="1" x14ac:dyDescent="0.25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</row>
  </sheetData>
  <dataConsolidate/>
  <mergeCells count="4">
    <mergeCell ref="AT10:BF13"/>
    <mergeCell ref="AT39:BF45"/>
    <mergeCell ref="A1:CY4"/>
    <mergeCell ref="AX9:B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Voltar">
                <anchor moveWithCells="1" sizeWithCells="1">
                  <from>
                    <xdr:col>104</xdr:col>
                    <xdr:colOff>133350</xdr:colOff>
                    <xdr:row>0</xdr:row>
                    <xdr:rowOff>57150</xdr:rowOff>
                  </from>
                  <to>
                    <xdr:col>120</xdr:col>
                    <xdr:colOff>114300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81360A-FB5C-458C-81CF-84FC5FB53498}">
          <x14:formula1>
            <xm:f>'Fonte Dashboards'!$F$255:$J$255</xm:f>
          </x14:formula1>
          <xm:sqref>AX9</xm:sqref>
        </x14:dataValidation>
        <x14:dataValidation type="list" allowBlank="1" showInputMessage="1" showErrorMessage="1" xr:uid="{05655D34-139E-44EE-8BAD-C2ACD3AB3B4C}">
          <x14:formula1>
            <xm:f>'Fonte Dashboards'!$B$68:$E$68</xm:f>
          </x14:formula1>
          <xm:sqref>AT39 AT14:AU14 AW14 AV14 BF14:BF16 AX14:BE14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46884-1A9A-4AF8-9B63-8F1389CA2C44}">
  <sheetPr codeName="Planilha12"/>
  <dimension ref="A1:L253"/>
  <sheetViews>
    <sheetView topLeftCell="A53" zoomScaleNormal="100" workbookViewId="0">
      <selection activeCell="E70" sqref="E70"/>
    </sheetView>
  </sheetViews>
  <sheetFormatPr defaultRowHeight="15" x14ac:dyDescent="0.25"/>
  <cols>
    <col min="1" max="1" width="22.140625" bestFit="1" customWidth="1"/>
    <col min="2" max="2" width="25.5703125" bestFit="1" customWidth="1"/>
    <col min="3" max="3" width="28.28515625" bestFit="1" customWidth="1"/>
    <col min="4" max="4" width="23.42578125" bestFit="1" customWidth="1"/>
    <col min="5" max="5" width="30.42578125" bestFit="1" customWidth="1"/>
    <col min="6" max="6" width="21" bestFit="1" customWidth="1"/>
    <col min="7" max="7" width="24.28515625" bestFit="1" customWidth="1"/>
    <col min="8" max="8" width="29.140625" bestFit="1" customWidth="1"/>
    <col min="9" max="9" width="26.42578125" bestFit="1" customWidth="1"/>
    <col min="10" max="10" width="22" bestFit="1" customWidth="1"/>
    <col min="11" max="11" width="30.42578125" bestFit="1" customWidth="1"/>
    <col min="12" max="12" width="20.85546875" bestFit="1" customWidth="1"/>
    <col min="13" max="13" width="32.28515625" bestFit="1" customWidth="1"/>
    <col min="14" max="14" width="30.5703125" bestFit="1" customWidth="1"/>
    <col min="15" max="15" width="34.140625" bestFit="1" customWidth="1"/>
    <col min="16" max="16" width="18" bestFit="1" customWidth="1"/>
    <col min="17" max="17" width="22.7109375" bestFit="1" customWidth="1"/>
    <col min="18" max="18" width="39.140625" bestFit="1" customWidth="1"/>
    <col min="19" max="19" width="37.28515625" bestFit="1" customWidth="1"/>
    <col min="20" max="20" width="33.140625" bestFit="1" customWidth="1"/>
    <col min="21" max="21" width="31.42578125" bestFit="1" customWidth="1"/>
    <col min="22" max="22" width="35" bestFit="1" customWidth="1"/>
    <col min="23" max="23" width="33.140625" bestFit="1" customWidth="1"/>
  </cols>
  <sheetData>
    <row r="1" spans="1:12" ht="30" x14ac:dyDescent="0.25">
      <c r="A1" s="44" t="s">
        <v>32</v>
      </c>
      <c r="C1" s="44" t="s">
        <v>64</v>
      </c>
      <c r="E1" s="33" t="s">
        <v>77</v>
      </c>
      <c r="F1" s="34" t="s">
        <v>79</v>
      </c>
      <c r="G1" s="34" t="s">
        <v>80</v>
      </c>
      <c r="H1" s="34" t="s">
        <v>81</v>
      </c>
      <c r="I1" s="34" t="s">
        <v>82</v>
      </c>
      <c r="J1" s="34" t="s">
        <v>83</v>
      </c>
      <c r="K1" s="34" t="s">
        <v>85</v>
      </c>
      <c r="L1" s="35" t="s">
        <v>84</v>
      </c>
    </row>
    <row r="2" spans="1:12" x14ac:dyDescent="0.25">
      <c r="A2" s="44" t="s">
        <v>0</v>
      </c>
      <c r="C2" s="44" t="s">
        <v>65</v>
      </c>
      <c r="E2" s="36" t="s">
        <v>27</v>
      </c>
      <c r="F2" s="24">
        <v>4.9749999999999996E-2</v>
      </c>
      <c r="G2" s="24">
        <v>0.25599999999999995</v>
      </c>
      <c r="H2" s="24">
        <v>6.9999999999999993E-2</v>
      </c>
      <c r="I2" s="24">
        <v>5.6250000000000001E-2</v>
      </c>
      <c r="J2" s="24">
        <v>0.28299999999999997</v>
      </c>
      <c r="K2" s="24">
        <v>4.8750000000000002E-2</v>
      </c>
      <c r="L2" s="37">
        <v>0.23574999999999999</v>
      </c>
    </row>
    <row r="3" spans="1:12" x14ac:dyDescent="0.25">
      <c r="A3" s="44" t="s">
        <v>8</v>
      </c>
      <c r="C3" s="44" t="s">
        <v>66</v>
      </c>
      <c r="E3" s="36" t="s">
        <v>8</v>
      </c>
      <c r="F3" s="24">
        <v>0.11666666666666667</v>
      </c>
      <c r="G3" s="24">
        <v>0.33233333333333337</v>
      </c>
      <c r="H3" s="24">
        <v>6.6777777777777769E-2</v>
      </c>
      <c r="I3" s="24">
        <v>5.2888888888888888E-2</v>
      </c>
      <c r="J3" s="24">
        <v>0.26844444444444443</v>
      </c>
      <c r="K3" s="24">
        <v>3.1666666666666662E-2</v>
      </c>
      <c r="L3" s="37">
        <v>0.13122222222222224</v>
      </c>
    </row>
    <row r="4" spans="1:12" x14ac:dyDescent="0.25">
      <c r="A4" s="44" t="s">
        <v>27</v>
      </c>
      <c r="C4" s="44" t="s">
        <v>67</v>
      </c>
      <c r="E4" s="36" t="s">
        <v>0</v>
      </c>
      <c r="F4" s="24">
        <v>7.6714285714285721E-2</v>
      </c>
      <c r="G4" s="24">
        <v>0.27199999999999996</v>
      </c>
      <c r="H4" s="24">
        <v>6.357142857142857E-2</v>
      </c>
      <c r="I4" s="24">
        <v>5.2285714285714283E-2</v>
      </c>
      <c r="J4" s="24">
        <v>0.31</v>
      </c>
      <c r="K4" s="24">
        <v>4.4571428571428574E-2</v>
      </c>
      <c r="L4" s="37">
        <v>0.18100000000000002</v>
      </c>
    </row>
    <row r="5" spans="1:12" x14ac:dyDescent="0.25">
      <c r="A5" s="44" t="s">
        <v>23</v>
      </c>
      <c r="C5" s="44" t="s">
        <v>68</v>
      </c>
      <c r="E5" s="36" t="s">
        <v>18</v>
      </c>
      <c r="F5" s="24">
        <v>3.85E-2</v>
      </c>
      <c r="G5" s="24">
        <v>0.26400000000000001</v>
      </c>
      <c r="H5" s="24">
        <v>8.1500000000000003E-2</v>
      </c>
      <c r="I5" s="24">
        <v>4.8000000000000001E-2</v>
      </c>
      <c r="J5" s="24">
        <v>0.31125000000000003</v>
      </c>
      <c r="K5" s="24">
        <v>4.3749999999999997E-2</v>
      </c>
      <c r="L5" s="37">
        <v>0.21274999999999999</v>
      </c>
    </row>
    <row r="6" spans="1:12" x14ac:dyDescent="0.25">
      <c r="A6" s="44" t="s">
        <v>18</v>
      </c>
      <c r="C6" s="44" t="s">
        <v>69</v>
      </c>
      <c r="E6" s="36" t="s">
        <v>23</v>
      </c>
      <c r="F6" s="24">
        <v>3.3666666666666671E-2</v>
      </c>
      <c r="G6" s="24">
        <v>0.29466666666666669</v>
      </c>
      <c r="H6" s="24">
        <v>0.10000000000000002</v>
      </c>
      <c r="I6" s="24">
        <v>4.8666666666666664E-2</v>
      </c>
      <c r="J6" s="24">
        <v>0.27400000000000002</v>
      </c>
      <c r="K6" s="24">
        <v>4.6333333333333331E-2</v>
      </c>
      <c r="L6" s="37">
        <v>0.20266666666666666</v>
      </c>
    </row>
    <row r="7" spans="1:12" x14ac:dyDescent="0.25">
      <c r="C7" s="44" t="s">
        <v>71</v>
      </c>
      <c r="E7" s="36" t="s">
        <v>78</v>
      </c>
      <c r="F7" s="24">
        <v>7.5592592592592586E-2</v>
      </c>
      <c r="G7" s="24">
        <v>0.29107407407407415</v>
      </c>
      <c r="H7" s="24">
        <v>7.2296296296296303E-2</v>
      </c>
      <c r="I7" s="24">
        <v>5.2037037037037055E-2</v>
      </c>
      <c r="J7" s="24">
        <v>0.28833333333333333</v>
      </c>
      <c r="K7" s="24">
        <v>4.0962962962962986E-2</v>
      </c>
      <c r="L7" s="37">
        <v>0.17962962962962958</v>
      </c>
    </row>
    <row r="8" spans="1:12" x14ac:dyDescent="0.25">
      <c r="C8" s="44" t="s">
        <v>70</v>
      </c>
      <c r="E8" s="38"/>
      <c r="F8" s="6"/>
      <c r="G8" s="6"/>
      <c r="H8" s="6"/>
      <c r="I8" s="6"/>
      <c r="J8" s="6"/>
      <c r="K8" s="6"/>
      <c r="L8" s="39"/>
    </row>
    <row r="9" spans="1:12" x14ac:dyDescent="0.25">
      <c r="E9" s="38"/>
      <c r="F9" s="31" t="s">
        <v>120</v>
      </c>
      <c r="G9" s="31" t="s">
        <v>86</v>
      </c>
      <c r="H9" s="6"/>
      <c r="I9" s="6"/>
      <c r="J9" s="6"/>
      <c r="K9" s="6"/>
      <c r="L9" s="39"/>
    </row>
    <row r="10" spans="1:12" x14ac:dyDescent="0.25">
      <c r="E10" s="38"/>
      <c r="F10" s="32" cm="1">
        <f t="array" ref="F10">SUMPRODUCT('Fonte Dashboards'!J2:L6*('Fonte Dashboards'!E2:E6='Perfil Socioeconômico'!DB17))</f>
        <v>0.43133333333333335</v>
      </c>
      <c r="G10" s="32" cm="1">
        <f t="array" ref="G10">SUMPRODUCT('Fonte Dashboards'!F2:I6*('Fonte Dashboards'!E2:E6='Perfil Socioeconômico'!DB17))</f>
        <v>0.56866666666666676</v>
      </c>
      <c r="H10" s="6"/>
      <c r="I10" s="6"/>
      <c r="J10" s="6"/>
      <c r="K10" s="6"/>
      <c r="L10" s="39"/>
    </row>
    <row r="11" spans="1:12" x14ac:dyDescent="0.25">
      <c r="E11" s="38"/>
      <c r="F11" s="6"/>
      <c r="G11" s="6"/>
      <c r="H11" s="6"/>
      <c r="I11" s="6"/>
      <c r="J11" s="6"/>
      <c r="K11" s="6"/>
      <c r="L11" s="39"/>
    </row>
    <row r="12" spans="1:12" x14ac:dyDescent="0.25">
      <c r="E12" s="38"/>
      <c r="F12" s="6"/>
      <c r="G12" s="6"/>
      <c r="H12" s="6"/>
      <c r="I12" s="6"/>
      <c r="J12" s="6"/>
      <c r="K12" s="6"/>
      <c r="L12" s="39"/>
    </row>
    <row r="13" spans="1:12" x14ac:dyDescent="0.25">
      <c r="E13" s="38"/>
      <c r="F13" s="6"/>
      <c r="G13" s="6"/>
      <c r="H13" s="6"/>
      <c r="I13" s="6"/>
      <c r="J13" s="6"/>
      <c r="K13" s="6"/>
      <c r="L13" s="39"/>
    </row>
    <row r="14" spans="1:12" x14ac:dyDescent="0.25">
      <c r="E14" s="38"/>
      <c r="F14" s="6"/>
      <c r="G14" s="6"/>
      <c r="H14" s="6"/>
      <c r="I14" s="6"/>
      <c r="J14" s="6"/>
      <c r="K14" s="6"/>
      <c r="L14" s="39"/>
    </row>
    <row r="15" spans="1:12" x14ac:dyDescent="0.25">
      <c r="E15" s="38"/>
      <c r="F15" s="6"/>
      <c r="G15" s="6"/>
      <c r="H15" s="6"/>
      <c r="I15" s="6"/>
      <c r="J15" s="6"/>
      <c r="K15" s="6"/>
      <c r="L15" s="39"/>
    </row>
    <row r="16" spans="1:12" x14ac:dyDescent="0.25">
      <c r="E16" s="40" t="s">
        <v>77</v>
      </c>
      <c r="F16" s="6" t="s">
        <v>87</v>
      </c>
      <c r="G16" s="6" t="s">
        <v>88</v>
      </c>
      <c r="H16" s="6" t="s">
        <v>89</v>
      </c>
      <c r="I16" s="6" t="s">
        <v>90</v>
      </c>
      <c r="J16" s="6" t="s">
        <v>91</v>
      </c>
      <c r="K16" s="6" t="s">
        <v>92</v>
      </c>
      <c r="L16" s="39" t="s">
        <v>93</v>
      </c>
    </row>
    <row r="17" spans="5:12" x14ac:dyDescent="0.25">
      <c r="E17" s="36" t="s">
        <v>27</v>
      </c>
      <c r="F17" s="24">
        <v>0.55600000000000005</v>
      </c>
      <c r="G17" s="24">
        <v>5.5999999999999994E-2</v>
      </c>
      <c r="H17" s="24">
        <v>0.25850000000000001</v>
      </c>
      <c r="I17" s="24">
        <v>0.1275</v>
      </c>
      <c r="J17" s="24">
        <v>1E-3</v>
      </c>
      <c r="K17" s="24">
        <v>1.25E-3</v>
      </c>
      <c r="L17" s="37">
        <v>2.5000000000000001E-4</v>
      </c>
    </row>
    <row r="18" spans="5:12" x14ac:dyDescent="0.25">
      <c r="E18" s="36" t="s">
        <v>8</v>
      </c>
      <c r="F18" s="24">
        <v>0.36000000000000004</v>
      </c>
      <c r="G18" s="24">
        <v>7.0000000000000007E-2</v>
      </c>
      <c r="H18" s="24">
        <v>0.29344444444444445</v>
      </c>
      <c r="I18" s="24">
        <v>0.21477777777777776</v>
      </c>
      <c r="J18" s="24">
        <v>3.0444444444444448E-2</v>
      </c>
      <c r="K18" s="24">
        <v>1.1333333333333332E-2</v>
      </c>
      <c r="L18" s="37">
        <v>4.1111111111111114E-3</v>
      </c>
    </row>
    <row r="19" spans="5:12" x14ac:dyDescent="0.25">
      <c r="E19" s="36" t="s">
        <v>0</v>
      </c>
      <c r="F19" s="24">
        <v>0.26728571428571424</v>
      </c>
      <c r="G19" s="24">
        <v>8.5857142857142868E-2</v>
      </c>
      <c r="H19" s="24">
        <v>0.30271428571428577</v>
      </c>
      <c r="I19" s="24">
        <v>0.26900000000000002</v>
      </c>
      <c r="J19" s="24">
        <v>3.3285714285714287E-2</v>
      </c>
      <c r="K19" s="24">
        <v>3.1714285714285716E-2</v>
      </c>
      <c r="L19" s="37">
        <v>2.2857142857142859E-3</v>
      </c>
    </row>
    <row r="20" spans="5:12" x14ac:dyDescent="0.25">
      <c r="E20" s="36" t="s">
        <v>18</v>
      </c>
      <c r="F20" s="24">
        <v>0.81325000000000003</v>
      </c>
      <c r="G20" s="24">
        <v>3.5250000000000004E-2</v>
      </c>
      <c r="H20" s="24">
        <v>7.1750000000000008E-2</v>
      </c>
      <c r="I20" s="24">
        <v>4.0000000000000008E-2</v>
      </c>
      <c r="J20" s="24">
        <v>1.0999999999999999E-2</v>
      </c>
      <c r="K20" s="24">
        <v>2.7250000000000003E-2</v>
      </c>
      <c r="L20" s="37">
        <v>1.5E-3</v>
      </c>
    </row>
    <row r="21" spans="5:12" x14ac:dyDescent="0.25">
      <c r="E21" s="36" t="s">
        <v>23</v>
      </c>
      <c r="F21" s="24">
        <v>0.52266666666666672</v>
      </c>
      <c r="G21" s="24">
        <v>0.15866666666666665</v>
      </c>
      <c r="H21" s="24">
        <v>0.22366666666666665</v>
      </c>
      <c r="I21" s="24">
        <v>8.3666666666666667E-2</v>
      </c>
      <c r="J21" s="24">
        <v>4.333333333333334E-3</v>
      </c>
      <c r="K21" s="24">
        <v>6.3333333333333332E-3</v>
      </c>
      <c r="L21" s="37">
        <v>1E-3</v>
      </c>
    </row>
    <row r="22" spans="5:12" x14ac:dyDescent="0.25">
      <c r="E22" s="36" t="s">
        <v>78</v>
      </c>
      <c r="F22" s="24">
        <v>0.45022222222222219</v>
      </c>
      <c r="G22" s="24">
        <v>7.6740740740740748E-2</v>
      </c>
      <c r="H22" s="24">
        <v>0.25007407407407406</v>
      </c>
      <c r="I22" s="24">
        <v>0.1754444444444444</v>
      </c>
      <c r="J22" s="24">
        <v>2.1037037037037038E-2</v>
      </c>
      <c r="K22" s="24">
        <v>1.6925925925925928E-2</v>
      </c>
      <c r="L22" s="37">
        <v>2.3333333333333344E-3</v>
      </c>
    </row>
    <row r="23" spans="5:12" x14ac:dyDescent="0.25">
      <c r="E23" s="38"/>
      <c r="F23" s="6"/>
      <c r="G23" s="6"/>
      <c r="H23" s="6"/>
      <c r="I23" s="6"/>
      <c r="J23" s="6"/>
      <c r="K23" s="6"/>
      <c r="L23" s="39"/>
    </row>
    <row r="24" spans="5:12" x14ac:dyDescent="0.25">
      <c r="E24" s="38"/>
      <c r="F24" s="6" t="s">
        <v>94</v>
      </c>
      <c r="G24" s="6" t="s">
        <v>95</v>
      </c>
      <c r="H24" s="6"/>
      <c r="I24" s="6"/>
      <c r="J24" s="6"/>
      <c r="K24" s="6"/>
      <c r="L24" s="39"/>
    </row>
    <row r="25" spans="5:12" x14ac:dyDescent="0.25">
      <c r="E25" s="38"/>
      <c r="F25" s="32" cm="1">
        <f t="array" ref="F25">SUMPRODUCT('Fonte Dashboards'!F17:G21*('Fonte Dashboards'!E17:E21='Perfil Socioeconômico'!DB17))</f>
        <v>0.43000000000000005</v>
      </c>
      <c r="G25" s="32" cm="1">
        <f t="array" ref="G25">SUMPRODUCT('Fonte Dashboards'!H17:L21*('Fonte Dashboards'!E17:E21='Perfil Socioeconômico'!DB17))</f>
        <v>0.55411111111111111</v>
      </c>
      <c r="H25" s="6"/>
      <c r="I25" s="6"/>
      <c r="J25" s="6"/>
      <c r="K25" s="6"/>
      <c r="L25" s="39"/>
    </row>
    <row r="26" spans="5:12" x14ac:dyDescent="0.25">
      <c r="E26" s="38"/>
      <c r="F26" s="6"/>
      <c r="G26" s="6"/>
      <c r="H26" s="6"/>
      <c r="I26" s="6"/>
      <c r="J26" s="6"/>
      <c r="K26" s="6"/>
      <c r="L26" s="39"/>
    </row>
    <row r="27" spans="5:12" x14ac:dyDescent="0.25">
      <c r="E27" s="38"/>
      <c r="F27" s="6"/>
      <c r="G27" s="6"/>
      <c r="H27" s="6"/>
      <c r="I27" s="6"/>
      <c r="J27" s="6"/>
      <c r="K27" s="6"/>
      <c r="L27" s="39"/>
    </row>
    <row r="28" spans="5:12" x14ac:dyDescent="0.25">
      <c r="E28" s="40" t="s">
        <v>77</v>
      </c>
      <c r="F28" s="6" t="s">
        <v>96</v>
      </c>
      <c r="G28" s="6" t="s">
        <v>97</v>
      </c>
      <c r="H28" s="6" t="s">
        <v>98</v>
      </c>
      <c r="I28" s="6" t="s">
        <v>99</v>
      </c>
      <c r="J28" s="6" t="s">
        <v>100</v>
      </c>
      <c r="K28" s="6" t="s">
        <v>93</v>
      </c>
      <c r="L28" s="39"/>
    </row>
    <row r="29" spans="5:12" x14ac:dyDescent="0.25">
      <c r="E29" s="36" t="s">
        <v>27</v>
      </c>
      <c r="F29" s="24">
        <v>0.89024999999999999</v>
      </c>
      <c r="G29" s="24">
        <v>7.7500000000000013E-2</v>
      </c>
      <c r="H29" s="24">
        <v>2.2499999999999999E-2</v>
      </c>
      <c r="I29" s="24">
        <v>7.7499999999999991E-3</v>
      </c>
      <c r="J29" s="24">
        <v>0</v>
      </c>
      <c r="K29" s="24">
        <v>1.75E-3</v>
      </c>
      <c r="L29" s="39"/>
    </row>
    <row r="30" spans="5:12" x14ac:dyDescent="0.25">
      <c r="E30" s="36" t="s">
        <v>8</v>
      </c>
      <c r="F30" s="24">
        <v>0.79622222222222216</v>
      </c>
      <c r="G30" s="24">
        <v>9.7000000000000003E-2</v>
      </c>
      <c r="H30" s="24">
        <v>3.977777777777778E-2</v>
      </c>
      <c r="I30" s="24">
        <v>8.8888888888888906E-3</v>
      </c>
      <c r="J30" s="24">
        <v>2.3444444444444445E-2</v>
      </c>
      <c r="K30" s="24">
        <v>3.5111111111111121E-2</v>
      </c>
      <c r="L30" s="39"/>
    </row>
    <row r="31" spans="5:12" x14ac:dyDescent="0.25">
      <c r="E31" s="36" t="s">
        <v>0</v>
      </c>
      <c r="F31" s="24">
        <v>0.64357142857142857</v>
      </c>
      <c r="G31" s="24">
        <v>0.18914285714285714</v>
      </c>
      <c r="H31" s="24">
        <v>0.1182857142857143</v>
      </c>
      <c r="I31" s="24">
        <v>2.3285714285714281E-2</v>
      </c>
      <c r="J31" s="24">
        <v>3.1428571428571426E-3</v>
      </c>
      <c r="K31" s="24">
        <v>2.2285714285714287E-2</v>
      </c>
      <c r="L31" s="39"/>
    </row>
    <row r="32" spans="5:12" x14ac:dyDescent="0.25">
      <c r="E32" s="36" t="s">
        <v>18</v>
      </c>
      <c r="F32" s="24">
        <v>0.92099999999999993</v>
      </c>
      <c r="G32" s="24">
        <v>4.3500000000000004E-2</v>
      </c>
      <c r="H32" s="24">
        <v>1.0500000000000001E-2</v>
      </c>
      <c r="I32" s="24">
        <v>2.2000000000000002E-2</v>
      </c>
      <c r="J32" s="24">
        <v>1.6666666666666666E-4</v>
      </c>
      <c r="K32" s="24">
        <v>3.0000000000000005E-3</v>
      </c>
      <c r="L32" s="39"/>
    </row>
    <row r="33" spans="5:12" x14ac:dyDescent="0.25">
      <c r="E33" s="36" t="s">
        <v>23</v>
      </c>
      <c r="F33" s="24">
        <v>0.86833333333333329</v>
      </c>
      <c r="G33" s="24">
        <v>7.4333333333333321E-2</v>
      </c>
      <c r="H33" s="24">
        <v>2.1333333333333333E-2</v>
      </c>
      <c r="I33" s="24">
        <v>3.4999999999999996E-2</v>
      </c>
      <c r="J33" s="24">
        <v>0</v>
      </c>
      <c r="K33" s="24">
        <v>1E-3</v>
      </c>
      <c r="L33" s="39"/>
    </row>
    <row r="34" spans="5:12" x14ac:dyDescent="0.25">
      <c r="E34" s="36" t="s">
        <v>78</v>
      </c>
      <c r="F34" s="24">
        <v>0.8056206896551722</v>
      </c>
      <c r="G34" s="24">
        <v>0.10313793103448275</v>
      </c>
      <c r="H34" s="24">
        <v>4.8379310344827571E-2</v>
      </c>
      <c r="I34" s="24">
        <v>1.7620689655172415E-2</v>
      </c>
      <c r="J34" s="24">
        <v>8.0689655172413791E-3</v>
      </c>
      <c r="K34" s="24">
        <v>1.7241379310344831E-2</v>
      </c>
      <c r="L34" s="39"/>
    </row>
    <row r="35" spans="5:12" x14ac:dyDescent="0.25">
      <c r="E35" s="38"/>
      <c r="F35" s="6" t="s">
        <v>101</v>
      </c>
      <c r="G35" s="6" t="s">
        <v>102</v>
      </c>
      <c r="H35" s="6"/>
      <c r="I35" s="6"/>
      <c r="J35" s="6"/>
      <c r="K35" s="6"/>
      <c r="L35" s="39"/>
    </row>
    <row r="36" spans="5:12" x14ac:dyDescent="0.25">
      <c r="E36" s="38"/>
      <c r="F36" s="32" cm="1">
        <f t="array" ref="F36">SUMPRODUCT('Fonte Dashboards'!F29:I33*('Fonte Dashboards'!E29:E33='Perfil Socioeconômico'!DB17))</f>
        <v>0.94188888888888878</v>
      </c>
      <c r="G36" s="32" cm="1">
        <f t="array" ref="G36">SUMPRODUCT('Fonte Dashboards'!J29:K33*('Fonte Dashboards'!E29:E33='Perfil Socioeconômico'!DB17))</f>
        <v>5.8555555555555569E-2</v>
      </c>
      <c r="H36" s="6"/>
      <c r="I36" s="6"/>
      <c r="J36" s="6"/>
      <c r="K36" s="6"/>
      <c r="L36" s="39"/>
    </row>
    <row r="37" spans="5:12" x14ac:dyDescent="0.25">
      <c r="E37" s="38"/>
      <c r="F37" s="6"/>
      <c r="G37" s="6"/>
      <c r="H37" s="6"/>
      <c r="I37" s="6"/>
      <c r="J37" s="6"/>
      <c r="K37" s="6"/>
      <c r="L37" s="39"/>
    </row>
    <row r="38" spans="5:12" x14ac:dyDescent="0.25">
      <c r="E38" s="38"/>
      <c r="F38" s="6"/>
      <c r="G38" s="6"/>
      <c r="H38" s="6"/>
      <c r="I38" s="6"/>
      <c r="J38" s="6"/>
      <c r="K38" s="6"/>
      <c r="L38" s="39"/>
    </row>
    <row r="39" spans="5:12" x14ac:dyDescent="0.25">
      <c r="E39" s="38"/>
      <c r="F39" s="6"/>
      <c r="G39" s="6"/>
      <c r="H39" s="6"/>
      <c r="I39" s="6"/>
      <c r="J39" s="6"/>
      <c r="K39" s="6"/>
      <c r="L39" s="39"/>
    </row>
    <row r="40" spans="5:12" x14ac:dyDescent="0.25">
      <c r="E40" s="40" t="s">
        <v>77</v>
      </c>
      <c r="F40" s="6" t="s">
        <v>103</v>
      </c>
      <c r="G40" s="6" t="s">
        <v>104</v>
      </c>
      <c r="H40" s="6" t="s">
        <v>105</v>
      </c>
      <c r="I40" s="6" t="s">
        <v>106</v>
      </c>
      <c r="J40" s="6" t="s">
        <v>107</v>
      </c>
      <c r="K40" s="6" t="s">
        <v>108</v>
      </c>
      <c r="L40" s="39" t="s">
        <v>93</v>
      </c>
    </row>
    <row r="41" spans="5:12" x14ac:dyDescent="0.25">
      <c r="E41" s="36" t="s">
        <v>27</v>
      </c>
      <c r="F41" s="24">
        <v>0.52049999999999996</v>
      </c>
      <c r="G41" s="24">
        <v>9.5000000000000001E-2</v>
      </c>
      <c r="H41" s="24">
        <v>0.27100000000000002</v>
      </c>
      <c r="I41" s="24">
        <v>3.5500000000000004E-2</v>
      </c>
      <c r="J41" s="24">
        <v>6.9250000000000006E-2</v>
      </c>
      <c r="K41" s="24">
        <v>6.0000000000000001E-3</v>
      </c>
      <c r="L41" s="37">
        <v>2.7500000000000003E-3</v>
      </c>
    </row>
    <row r="42" spans="5:12" x14ac:dyDescent="0.25">
      <c r="E42" s="36" t="s">
        <v>8</v>
      </c>
      <c r="F42" s="24">
        <v>0.70977777777777762</v>
      </c>
      <c r="G42" s="24">
        <v>3.7000000000000005E-2</v>
      </c>
      <c r="H42" s="24">
        <v>0.16622222222222222</v>
      </c>
      <c r="I42" s="24">
        <v>1.0888888888888887E-2</v>
      </c>
      <c r="J42" s="24">
        <v>6.7666666666666667E-2</v>
      </c>
      <c r="K42" s="24">
        <v>6.5555555555555549E-3</v>
      </c>
      <c r="L42" s="37">
        <v>2E-3</v>
      </c>
    </row>
    <row r="43" spans="5:12" x14ac:dyDescent="0.25">
      <c r="E43" s="36" t="s">
        <v>0</v>
      </c>
      <c r="F43" s="24">
        <v>0.72885714285714287</v>
      </c>
      <c r="G43" s="24">
        <v>1.9714285714285715E-2</v>
      </c>
      <c r="H43" s="24">
        <v>0.161</v>
      </c>
      <c r="I43" s="24">
        <v>1.7571428571428571E-2</v>
      </c>
      <c r="J43" s="24">
        <v>6.0714285714285714E-2</v>
      </c>
      <c r="K43" s="24">
        <v>1.1142857142857144E-2</v>
      </c>
      <c r="L43" s="37">
        <v>1.1428571428571429E-3</v>
      </c>
    </row>
    <row r="44" spans="5:12" x14ac:dyDescent="0.25">
      <c r="E44" s="36" t="s">
        <v>18</v>
      </c>
      <c r="F44" s="24">
        <v>0.627</v>
      </c>
      <c r="G44" s="24">
        <v>6.1249999999999999E-2</v>
      </c>
      <c r="H44" s="24">
        <v>0.21625</v>
      </c>
      <c r="I44" s="24">
        <v>1.7499999999999998E-2</v>
      </c>
      <c r="J44" s="24">
        <v>6.7750000000000005E-2</v>
      </c>
      <c r="K44" s="24">
        <v>7.2499999999999995E-3</v>
      </c>
      <c r="L44" s="37">
        <v>3.0000000000000001E-3</v>
      </c>
    </row>
    <row r="45" spans="5:12" x14ac:dyDescent="0.25">
      <c r="E45" s="36" t="s">
        <v>23</v>
      </c>
      <c r="F45" s="24">
        <v>0.62666666666666659</v>
      </c>
      <c r="G45" s="24">
        <v>8.7333333333333332E-2</v>
      </c>
      <c r="H45" s="24">
        <v>0.20833333333333334</v>
      </c>
      <c r="I45" s="24">
        <v>1.6999999999999998E-2</v>
      </c>
      <c r="J45" s="24">
        <v>5.3999999999999999E-2</v>
      </c>
      <c r="K45" s="24">
        <v>5.0000000000000001E-3</v>
      </c>
      <c r="L45" s="37">
        <v>2E-3</v>
      </c>
    </row>
    <row r="46" spans="5:12" x14ac:dyDescent="0.25">
      <c r="E46" s="36" t="s">
        <v>78</v>
      </c>
      <c r="F46" s="24">
        <v>0.6651851851851851</v>
      </c>
      <c r="G46" s="24">
        <v>5.0296296296296318E-2</v>
      </c>
      <c r="H46" s="24">
        <v>0.1924814814814815</v>
      </c>
      <c r="I46" s="24">
        <v>1.7925925925925932E-2</v>
      </c>
      <c r="J46" s="24">
        <v>6.459259259259259E-2</v>
      </c>
      <c r="K46" s="24">
        <v>7.5925925925925944E-3</v>
      </c>
      <c r="L46" s="37">
        <v>2.0370370370370377E-3</v>
      </c>
    </row>
    <row r="47" spans="5:12" x14ac:dyDescent="0.25">
      <c r="E47" s="38"/>
      <c r="F47" s="6"/>
      <c r="G47" s="6"/>
      <c r="H47" s="6"/>
      <c r="I47" s="6"/>
      <c r="J47" s="6"/>
      <c r="K47" s="6"/>
      <c r="L47" s="39"/>
    </row>
    <row r="48" spans="5:12" x14ac:dyDescent="0.25">
      <c r="E48" s="38"/>
      <c r="F48" s="6" t="s">
        <v>109</v>
      </c>
      <c r="G48" s="6" t="s">
        <v>110</v>
      </c>
      <c r="H48" s="6" t="s">
        <v>111</v>
      </c>
      <c r="I48" s="6"/>
      <c r="J48" s="6"/>
      <c r="K48" s="6"/>
      <c r="L48" s="39"/>
    </row>
    <row r="49" spans="5:12" x14ac:dyDescent="0.25">
      <c r="E49" s="38"/>
      <c r="F49" s="32" cm="1">
        <f t="array" ref="F49">SUMPRODUCT('Fonte Dashboards'!F41:G45*('Fonte Dashboards'!E41:E45='Perfil Socioeconômico'!DB17))</f>
        <v>0.74677777777777765</v>
      </c>
      <c r="G49" s="32" cm="1">
        <f t="array" ref="G49">SUMPRODUCT('Fonte Dashboards'!H41:H45*('Fonte Dashboards'!E41:E45='Perfil Socioeconômico'!DB17))</f>
        <v>0.16622222222222222</v>
      </c>
      <c r="H49" s="32" cm="1">
        <f t="array" ref="H49">SUMPRODUCT('Fonte Dashboards'!I41:L45*('Fonte Dashboards'!E41:E45='Perfil Socioeconômico'!DB17))</f>
        <v>8.7111111111111111E-2</v>
      </c>
      <c r="I49" s="6"/>
      <c r="J49" s="6"/>
      <c r="K49" s="6"/>
      <c r="L49" s="39"/>
    </row>
    <row r="50" spans="5:12" x14ac:dyDescent="0.25">
      <c r="E50" s="38"/>
      <c r="F50" s="6"/>
      <c r="G50" s="6"/>
      <c r="H50" s="6"/>
      <c r="I50" s="6"/>
      <c r="J50" s="6"/>
      <c r="K50" s="6"/>
      <c r="L50" s="39"/>
    </row>
    <row r="51" spans="5:12" x14ac:dyDescent="0.25">
      <c r="E51" s="38"/>
      <c r="F51" s="6"/>
      <c r="G51" s="6"/>
      <c r="H51" s="6"/>
      <c r="I51" s="6"/>
      <c r="J51" s="6"/>
      <c r="K51" s="6"/>
      <c r="L51" s="39"/>
    </row>
    <row r="52" spans="5:12" x14ac:dyDescent="0.25">
      <c r="E52" s="38"/>
      <c r="F52" s="6"/>
      <c r="G52" s="6"/>
      <c r="H52" s="6"/>
      <c r="I52" s="6"/>
      <c r="J52" s="6"/>
      <c r="K52" s="6"/>
      <c r="L52" s="39"/>
    </row>
    <row r="53" spans="5:12" x14ac:dyDescent="0.25">
      <c r="E53" s="40" t="s">
        <v>77</v>
      </c>
      <c r="F53" s="6" t="s">
        <v>112</v>
      </c>
      <c r="G53" s="6" t="s">
        <v>113</v>
      </c>
      <c r="H53" s="6" t="s">
        <v>114</v>
      </c>
      <c r="I53" s="6" t="s">
        <v>115</v>
      </c>
      <c r="J53" s="6" t="s">
        <v>116</v>
      </c>
      <c r="K53" s="6" t="s">
        <v>117</v>
      </c>
      <c r="L53" s="39" t="s">
        <v>118</v>
      </c>
    </row>
    <row r="54" spans="5:12" x14ac:dyDescent="0.25">
      <c r="E54" s="36" t="s">
        <v>27</v>
      </c>
      <c r="F54" s="24">
        <v>0.99324999999999997</v>
      </c>
      <c r="G54" s="24">
        <v>0.99250000000000005</v>
      </c>
      <c r="H54" s="24">
        <v>0.83424999999999994</v>
      </c>
      <c r="I54" s="24">
        <v>0.64400000000000002</v>
      </c>
      <c r="J54" s="24">
        <v>0.31900000000000001</v>
      </c>
      <c r="K54" s="24">
        <v>0.95025000000000004</v>
      </c>
      <c r="L54" s="37">
        <v>0.47875000000000001</v>
      </c>
    </row>
    <row r="55" spans="5:12" x14ac:dyDescent="0.25">
      <c r="E55" s="36" t="s">
        <v>8</v>
      </c>
      <c r="F55" s="24">
        <v>0.96444444444444444</v>
      </c>
      <c r="G55" s="24">
        <v>0.98366666666666669</v>
      </c>
      <c r="H55" s="24">
        <v>0.42111111111111116</v>
      </c>
      <c r="I55" s="24">
        <v>0.31977777777777777</v>
      </c>
      <c r="J55" s="24">
        <v>0.38877777777777772</v>
      </c>
      <c r="K55" s="24">
        <v>0.88855555555555554</v>
      </c>
      <c r="L55" s="37">
        <v>0.27799999999999997</v>
      </c>
    </row>
    <row r="56" spans="5:12" x14ac:dyDescent="0.25">
      <c r="E56" s="36" t="s">
        <v>0</v>
      </c>
      <c r="F56" s="24">
        <v>0.96642857142857153</v>
      </c>
      <c r="G56" s="24">
        <v>0.95842857142857141</v>
      </c>
      <c r="H56" s="24">
        <v>0.65957142857142848</v>
      </c>
      <c r="I56" s="24">
        <v>0.37871428571428573</v>
      </c>
      <c r="J56" s="24">
        <v>0.37371428571428572</v>
      </c>
      <c r="K56" s="24">
        <v>0.87528571428571422</v>
      </c>
      <c r="L56" s="37">
        <v>0.29742857142857149</v>
      </c>
    </row>
    <row r="57" spans="5:12" x14ac:dyDescent="0.25">
      <c r="E57" s="36" t="s">
        <v>18</v>
      </c>
      <c r="F57" s="24">
        <v>0.98875000000000002</v>
      </c>
      <c r="G57" s="24">
        <v>0.99474999999999991</v>
      </c>
      <c r="H57" s="24">
        <v>0.79925000000000002</v>
      </c>
      <c r="I57" s="24">
        <v>0.57550000000000001</v>
      </c>
      <c r="J57" s="24">
        <v>0.22475000000000001</v>
      </c>
      <c r="K57" s="24">
        <v>0.9355</v>
      </c>
      <c r="L57" s="37">
        <v>0.48950000000000005</v>
      </c>
    </row>
    <row r="58" spans="5:12" x14ac:dyDescent="0.25">
      <c r="E58" s="36" t="s">
        <v>23</v>
      </c>
      <c r="F58" s="24">
        <v>0.98933333333333329</v>
      </c>
      <c r="G58" s="24">
        <v>0.99633333333333329</v>
      </c>
      <c r="H58" s="24">
        <v>0.91699999999999993</v>
      </c>
      <c r="I58" s="24">
        <v>0.74933333333333341</v>
      </c>
      <c r="J58" s="24">
        <v>0.24466666666666667</v>
      </c>
      <c r="K58" s="24">
        <v>0.93800000000000006</v>
      </c>
      <c r="L58" s="37">
        <v>0.51833333333333342</v>
      </c>
    </row>
    <row r="59" spans="5:12" x14ac:dyDescent="0.25">
      <c r="E59" s="36" t="s">
        <v>78</v>
      </c>
      <c r="F59" s="24">
        <v>0.97559259259259246</v>
      </c>
      <c r="G59" s="24">
        <v>0.98148148148148151</v>
      </c>
      <c r="H59" s="24">
        <v>0.6552592592592591</v>
      </c>
      <c r="I59" s="24">
        <v>0.46870370370370368</v>
      </c>
      <c r="J59" s="24">
        <v>0.33422222222222225</v>
      </c>
      <c r="K59" s="24">
        <v>0.90670370370370368</v>
      </c>
      <c r="L59" s="37">
        <v>0.37081481481481487</v>
      </c>
    </row>
    <row r="60" spans="5:12" x14ac:dyDescent="0.25">
      <c r="E60" s="38"/>
      <c r="F60" s="6"/>
      <c r="G60" s="6"/>
      <c r="H60" s="6"/>
      <c r="I60" s="6"/>
      <c r="J60" s="6"/>
      <c r="K60" s="6"/>
      <c r="L60" s="39"/>
    </row>
    <row r="61" spans="5:12" x14ac:dyDescent="0.25">
      <c r="E61" s="38"/>
      <c r="F61" s="6" t="s">
        <v>119</v>
      </c>
      <c r="G61" s="6" t="s">
        <v>45</v>
      </c>
      <c r="H61" s="6" t="s">
        <v>46</v>
      </c>
      <c r="I61" s="6" t="s">
        <v>47</v>
      </c>
      <c r="J61" s="6" t="s">
        <v>48</v>
      </c>
      <c r="K61" s="6" t="s">
        <v>49</v>
      </c>
      <c r="L61" s="39" t="s">
        <v>50</v>
      </c>
    </row>
    <row r="62" spans="5:12" ht="15.75" thickBot="1" x14ac:dyDescent="0.3">
      <c r="E62" s="41"/>
      <c r="F62" s="42" cm="1">
        <f t="array" ref="F62">SUMPRODUCT('Fonte Dashboards'!F54:F58*('Fonte Dashboards'!$E$54:$E$58='Perfil Socioeconômico'!$DB$17))</f>
        <v>0.96444444444444444</v>
      </c>
      <c r="G62" s="42" cm="1">
        <f t="array" ref="G62">SUMPRODUCT('Fonte Dashboards'!G54:G58*('Fonte Dashboards'!$E$54:$E$58='Perfil Socioeconômico'!$DB$17))</f>
        <v>0.98366666666666669</v>
      </c>
      <c r="H62" s="42" cm="1">
        <f t="array" ref="H62">SUMPRODUCT('Fonte Dashboards'!H54:H58*('Fonte Dashboards'!$E$54:$E$58='Perfil Socioeconômico'!$DB$17))</f>
        <v>0.42111111111111116</v>
      </c>
      <c r="I62" s="42" cm="1">
        <f t="array" ref="I62">SUMPRODUCT('Fonte Dashboards'!I54:I58*('Fonte Dashboards'!$E$54:$E$58='Perfil Socioeconômico'!$DB$17))</f>
        <v>0.31977777777777777</v>
      </c>
      <c r="J62" s="42" cm="1">
        <f t="array" ref="J62">SUMPRODUCT('Fonte Dashboards'!J54:J58*('Fonte Dashboards'!$E$54:$E$58='Perfil Socioeconômico'!$DB$17))</f>
        <v>0.38877777777777772</v>
      </c>
      <c r="K62" s="42" cm="1">
        <f t="array" ref="K62">SUMPRODUCT('Fonte Dashboards'!K54:K58*('Fonte Dashboards'!$E$54:$E$58='Perfil Socioeconômico'!$DB$17))</f>
        <v>0.88855555555555554</v>
      </c>
      <c r="L62" s="43" cm="1">
        <f t="array" ref="L62">SUMPRODUCT('Fonte Dashboards'!L54:L58*('Fonte Dashboards'!$E$54:$E$58='Perfil Socioeconômico'!$DB$17))</f>
        <v>0.27799999999999997</v>
      </c>
    </row>
    <row r="66" spans="1:7" x14ac:dyDescent="0.25">
      <c r="E66" s="6"/>
      <c r="F66" s="23"/>
      <c r="G66" s="24"/>
    </row>
    <row r="67" spans="1:7" x14ac:dyDescent="0.25">
      <c r="E67" s="6"/>
      <c r="F67" s="23"/>
      <c r="G67" s="24"/>
    </row>
    <row r="68" spans="1:7" x14ac:dyDescent="0.25">
      <c r="A68" t="s">
        <v>33</v>
      </c>
      <c r="B68" t="s">
        <v>123</v>
      </c>
      <c r="C68" t="s">
        <v>122</v>
      </c>
      <c r="D68" t="s">
        <v>127</v>
      </c>
      <c r="E68" s="6" t="s">
        <v>128</v>
      </c>
      <c r="F68" s="23" t="s">
        <v>35</v>
      </c>
      <c r="G68" s="24"/>
    </row>
    <row r="69" spans="1:7" x14ac:dyDescent="0.25">
      <c r="A69" t="s">
        <v>2</v>
      </c>
      <c r="B69" s="26">
        <f>SUM('Nível de instrução'!G2:I2)</f>
        <v>0.50800000000000001</v>
      </c>
      <c r="C69" s="26">
        <f>SUM('Condição de moradia'!C2:D2)</f>
        <v>0.80300000000000005</v>
      </c>
      <c r="D69" s="26">
        <f>SUM('Acesso a esgoto'!C2:E2)</f>
        <v>0.69799999999999995</v>
      </c>
      <c r="E69" s="46">
        <f>SUM('Acesso ao abastecimento de água'!C2:E2)</f>
        <v>0.91599999999999993</v>
      </c>
      <c r="F69" s="23">
        <v>2219</v>
      </c>
      <c r="G69" s="24"/>
    </row>
    <row r="70" spans="1:7" x14ac:dyDescent="0.25">
      <c r="A70" t="s">
        <v>15</v>
      </c>
      <c r="B70" s="26">
        <f>SUM('Nível de instrução'!G3:I3)</f>
        <v>0.40499999999999997</v>
      </c>
      <c r="C70" s="26">
        <f>SUM('Condição de moradia'!C3:D3)</f>
        <v>0.71400000000000008</v>
      </c>
      <c r="D70" s="26">
        <f>SUM('Acesso a esgoto'!C3:E3)</f>
        <v>0.65200000000000002</v>
      </c>
      <c r="E70" s="46">
        <f>SUM('Acesso ao abastecimento de água'!C3:E3)</f>
        <v>0.91500000000000004</v>
      </c>
      <c r="F70" s="23">
        <v>1780</v>
      </c>
      <c r="G70" s="24"/>
    </row>
    <row r="71" spans="1:7" x14ac:dyDescent="0.25">
      <c r="A71" t="s">
        <v>6</v>
      </c>
      <c r="B71" s="26">
        <f>SUM('Nível de instrução'!G4:I4)</f>
        <v>0.60499999999999998</v>
      </c>
      <c r="C71" s="26">
        <f>SUM('Condição de moradia'!C4:D4)</f>
        <v>0.83299999999999996</v>
      </c>
      <c r="D71" s="26">
        <f>SUM('Acesso a esgoto'!C4:E4)</f>
        <v>0.51400000000000001</v>
      </c>
      <c r="E71" s="46">
        <f>SUM('Acesso ao abastecimento de água'!C4:E4)</f>
        <v>0.96499999999999997</v>
      </c>
      <c r="F71" s="23">
        <v>2361</v>
      </c>
      <c r="G71" s="24"/>
    </row>
    <row r="72" spans="1:7" x14ac:dyDescent="0.25">
      <c r="A72" t="s">
        <v>3</v>
      </c>
      <c r="B72" s="26">
        <f>SUM('Nível de instrução'!G5:I5)</f>
        <v>0.57799999999999996</v>
      </c>
      <c r="C72" s="26">
        <f>SUM('Condição de moradia'!C5:D5)</f>
        <v>0.80600000000000005</v>
      </c>
      <c r="D72" s="26">
        <f>SUM('Acesso a esgoto'!C5:E5)</f>
        <v>0.60999999999999988</v>
      </c>
      <c r="E72" s="46">
        <f>SUM('Acesso ao abastecimento de água'!C5:E5)</f>
        <v>0.90100000000000002</v>
      </c>
      <c r="F72" s="22">
        <v>1988</v>
      </c>
    </row>
    <row r="73" spans="1:7" x14ac:dyDescent="0.25">
      <c r="A73" t="s">
        <v>17</v>
      </c>
      <c r="B73" s="26">
        <f>SUM('Nível de instrução'!G6:I6)</f>
        <v>0.45700000000000002</v>
      </c>
      <c r="C73" s="26">
        <f>SUM('Condição de moradia'!C6:D6)</f>
        <v>0.77800000000000002</v>
      </c>
      <c r="D73" s="26">
        <f>SUM('Acesso a esgoto'!C6:E6)</f>
        <v>0.73100000000000009</v>
      </c>
      <c r="E73" s="46">
        <f>SUM('Acesso ao abastecimento de água'!C6:E6)</f>
        <v>0.92999999999999994</v>
      </c>
      <c r="F73" s="22">
        <v>1662</v>
      </c>
    </row>
    <row r="74" spans="1:7" x14ac:dyDescent="0.25">
      <c r="A74" t="s">
        <v>11</v>
      </c>
      <c r="B74" s="26">
        <f>SUM('Nível de instrução'!G7:I7)</f>
        <v>0.44200000000000006</v>
      </c>
      <c r="C74" s="26">
        <f>SUM('Condição de moradia'!C7:D7)</f>
        <v>0.72099999999999997</v>
      </c>
      <c r="D74" s="26">
        <f>SUM('Acesso a esgoto'!C7:E7)</f>
        <v>0.77400000000000002</v>
      </c>
      <c r="E74" s="46">
        <f>SUM('Acesso ao abastecimento de água'!C7:E7)</f>
        <v>0.96299999999999997</v>
      </c>
      <c r="F74" s="22">
        <v>1790</v>
      </c>
    </row>
    <row r="75" spans="1:7" x14ac:dyDescent="0.25">
      <c r="A75" t="s">
        <v>31</v>
      </c>
      <c r="B75" s="26">
        <f>SUM('Nível de instrução'!G8:I8)</f>
        <v>0.71299999999999997</v>
      </c>
      <c r="C75" s="26">
        <f>SUM('Condição de moradia'!C8:D8)</f>
        <v>0.54899999999999993</v>
      </c>
      <c r="D75" s="26">
        <f>SUM('Acesso a esgoto'!C8:E8)</f>
        <v>0.98299999999999998</v>
      </c>
      <c r="E75" s="46">
        <f>SUM('Acesso ao abastecimento de água'!C8:E8)</f>
        <v>0.995</v>
      </c>
      <c r="F75" s="22">
        <v>4403</v>
      </c>
    </row>
    <row r="76" spans="1:7" x14ac:dyDescent="0.25">
      <c r="A76" t="s">
        <v>20</v>
      </c>
      <c r="B76" s="26">
        <f>SUM('Nível de instrução'!G9:I9)</f>
        <v>0.52099999999999991</v>
      </c>
      <c r="C76" s="26">
        <f>SUM('Condição de moradia'!C9:D9)</f>
        <v>0.68500000000000005</v>
      </c>
      <c r="D76" s="26">
        <f>SUM('Acesso a esgoto'!C9:E9)</f>
        <v>0.88700000000000001</v>
      </c>
      <c r="E76" s="46">
        <f>SUM('Acesso ao abastecimento de água'!C9:E9)</f>
        <v>0.95</v>
      </c>
      <c r="F76" s="22">
        <v>2644</v>
      </c>
    </row>
    <row r="77" spans="1:7" x14ac:dyDescent="0.25">
      <c r="A77" t="s">
        <v>30</v>
      </c>
      <c r="B77" s="26">
        <f>SUM('Nível de instrução'!G10:I10)</f>
        <v>0.51800000000000002</v>
      </c>
      <c r="C77" s="26">
        <f>SUM('Condição de moradia'!C10:D10)</f>
        <v>0.624</v>
      </c>
      <c r="D77" s="26">
        <f>SUM('Acesso a esgoto'!C10:E10)</f>
        <v>0.80200000000000005</v>
      </c>
      <c r="E77" s="46">
        <f>SUM('Acesso ao abastecimento de água'!C10:E10)</f>
        <v>0.98899999999999999</v>
      </c>
      <c r="F77" s="22">
        <v>2545</v>
      </c>
    </row>
    <row r="78" spans="1:7" x14ac:dyDescent="0.25">
      <c r="A78" t="s">
        <v>9</v>
      </c>
      <c r="B78" s="26">
        <f>SUM('Nível de instrução'!G11:I11)</f>
        <v>0.42799999999999999</v>
      </c>
      <c r="C78" s="26">
        <f>SUM('Condição de moradia'!C11:D11)</f>
        <v>0.83299999999999996</v>
      </c>
      <c r="D78" s="26">
        <f>SUM('Acesso a esgoto'!C11:E11)</f>
        <v>0.66399999999999992</v>
      </c>
      <c r="E78" s="46">
        <f>SUM('Acesso ao abastecimento de água'!C11:E11)</f>
        <v>0.98099999999999987</v>
      </c>
      <c r="F78" s="22">
        <v>1663</v>
      </c>
    </row>
    <row r="79" spans="1:7" x14ac:dyDescent="0.25">
      <c r="A79" t="s">
        <v>29</v>
      </c>
      <c r="B79" s="26">
        <f>SUM('Nível de instrução'!G12:I12)</f>
        <v>0.50600000000000001</v>
      </c>
      <c r="C79" s="26">
        <f>SUM('Condição de moradia'!C12:D12)</f>
        <v>0.64999999999999991</v>
      </c>
      <c r="D79" s="26">
        <f>SUM('Acesso a esgoto'!C12:E12)</f>
        <v>0.85799999999999998</v>
      </c>
      <c r="E79" s="46">
        <f>SUM('Acesso ao abastecimento de água'!C12:E12)</f>
        <v>0.98399999999999999</v>
      </c>
      <c r="F79" s="22">
        <v>2853</v>
      </c>
    </row>
    <row r="80" spans="1:7" x14ac:dyDescent="0.25">
      <c r="A80" t="s">
        <v>28</v>
      </c>
      <c r="B80" s="26">
        <f>SUM('Nível de instrução'!G13:I13)</f>
        <v>0.53300000000000003</v>
      </c>
      <c r="C80" s="26">
        <f>SUM('Condição de moradia'!C13:D13)</f>
        <v>0.63900000000000001</v>
      </c>
      <c r="D80" s="26">
        <f>SUM('Acesso a esgoto'!C13:E13)</f>
        <v>0.83899999999999997</v>
      </c>
      <c r="E80" s="46">
        <f>SUM('Acesso ao abastecimento de água'!C13:E13)</f>
        <v>0.99299999999999999</v>
      </c>
      <c r="F80" s="22">
        <v>2982</v>
      </c>
    </row>
    <row r="81" spans="1:10" x14ac:dyDescent="0.25">
      <c r="A81" t="s">
        <v>19</v>
      </c>
      <c r="B81" s="26">
        <f>SUM('Nível de instrução'!G14:I14)</f>
        <v>0.49099999999999999</v>
      </c>
      <c r="C81" s="26">
        <f>SUM('Condição de moradia'!C14:D14)</f>
        <v>0.7</v>
      </c>
      <c r="D81" s="26">
        <f>SUM('Acesso a esgoto'!C14:E14)</f>
        <v>0.88200000000000001</v>
      </c>
      <c r="E81" s="46">
        <f>SUM('Acesso ao abastecimento de água'!C14:E14)</f>
        <v>0.93800000000000006</v>
      </c>
      <c r="F81" s="22">
        <v>2336</v>
      </c>
    </row>
    <row r="82" spans="1:10" x14ac:dyDescent="0.25">
      <c r="A82" t="s">
        <v>5</v>
      </c>
      <c r="B82" s="26">
        <f>SUM('Nível de instrução'!G15:I15)</f>
        <v>0.44400000000000006</v>
      </c>
      <c r="C82" s="26">
        <f>SUM('Condição de moradia'!C15:D15)</f>
        <v>0.80400000000000005</v>
      </c>
      <c r="D82" s="26">
        <f>SUM('Acesso a esgoto'!C15:E15)</f>
        <v>0.61299999999999999</v>
      </c>
      <c r="E82" s="46">
        <f>SUM('Acesso ao abastecimento de água'!C15:E15)</f>
        <v>0.92700000000000005</v>
      </c>
      <c r="F82" s="45">
        <v>1911</v>
      </c>
      <c r="G82" s="28"/>
    </row>
    <row r="83" spans="1:10" x14ac:dyDescent="0.25">
      <c r="A83" t="s">
        <v>13</v>
      </c>
      <c r="B83" s="26">
        <f>SUM('Nível de instrução'!G16:I16)</f>
        <v>0.39600000000000002</v>
      </c>
      <c r="C83" s="26">
        <f>SUM('Condição de moradia'!C16:D16)</f>
        <v>0.72000000000000008</v>
      </c>
      <c r="D83" s="26">
        <f>SUM('Acesso a esgoto'!C16:E16)</f>
        <v>0.76</v>
      </c>
      <c r="E83" s="46">
        <f>SUM('Acesso ao abastecimento de água'!C16:E16)</f>
        <v>0.84199999999999997</v>
      </c>
      <c r="F83" s="45">
        <v>2107</v>
      </c>
      <c r="G83" s="28"/>
    </row>
    <row r="84" spans="1:10" x14ac:dyDescent="0.25">
      <c r="A84" t="s">
        <v>24</v>
      </c>
      <c r="B84" s="26">
        <f>SUM('Nível de instrução'!G17:I17)</f>
        <v>0.51700000000000002</v>
      </c>
      <c r="C84" s="26">
        <f>SUM('Condição de moradia'!C17:D17)</f>
        <v>0.67599999999999993</v>
      </c>
      <c r="D84" s="26">
        <f>SUM('Acesso a esgoto'!C17:E17)</f>
        <v>0.88400000000000001</v>
      </c>
      <c r="E84" s="46">
        <f>SUM('Acesso ao abastecimento de água'!C17:E17)</f>
        <v>0.96200000000000008</v>
      </c>
      <c r="F84" s="45">
        <v>2915</v>
      </c>
      <c r="G84" s="29"/>
    </row>
    <row r="85" spans="1:10" x14ac:dyDescent="0.25">
      <c r="A85" t="s">
        <v>14</v>
      </c>
      <c r="B85" s="26">
        <f>SUM('Nível de instrução'!G18:I18)</f>
        <v>0.46500000000000002</v>
      </c>
      <c r="C85" s="26">
        <f>SUM('Condição de moradia'!C18:D18)</f>
        <v>0.72799999999999998</v>
      </c>
      <c r="D85" s="26">
        <f>SUM('Acesso a esgoto'!C18:E18)</f>
        <v>0.80499999999999994</v>
      </c>
      <c r="E85" s="46">
        <f>SUM('Acesso ao abastecimento de água'!C18:E18)</f>
        <v>0.90600000000000003</v>
      </c>
      <c r="F85" s="45">
        <v>1813</v>
      </c>
      <c r="G85" s="29"/>
    </row>
    <row r="86" spans="1:10" x14ac:dyDescent="0.25">
      <c r="A86" t="s">
        <v>10</v>
      </c>
      <c r="B86" s="26">
        <f>SUM('Nível de instrução'!G19:I19)</f>
        <v>0.4</v>
      </c>
      <c r="C86" s="26">
        <f>SUM('Condição de moradia'!C19:D19)</f>
        <v>0.82700000000000007</v>
      </c>
      <c r="D86" s="26">
        <f>SUM('Acesso a esgoto'!C19:E19)</f>
        <v>0.753</v>
      </c>
      <c r="E86" s="46">
        <f>SUM('Acesso ao abastecimento de água'!C19:E19)</f>
        <v>0.94800000000000006</v>
      </c>
      <c r="F86" s="45">
        <v>1939</v>
      </c>
      <c r="G86" s="29"/>
    </row>
    <row r="87" spans="1:10" x14ac:dyDescent="0.25">
      <c r="A87" t="s">
        <v>21</v>
      </c>
      <c r="B87" s="26">
        <f>SUM('Nível de instrução'!G20:I20)</f>
        <v>0.63100000000000001</v>
      </c>
      <c r="C87" s="26">
        <f>SUM('Condição de moradia'!C20:D20)</f>
        <v>0.71300000000000008</v>
      </c>
      <c r="D87" s="26">
        <f>SUM('Acesso a esgoto'!C20:E20)</f>
        <v>0.94700000000000006</v>
      </c>
      <c r="E87" s="46">
        <f>SUM('Acesso ao abastecimento de água'!C20:E20)</f>
        <v>0.97799999999999998</v>
      </c>
      <c r="F87" s="45">
        <v>3207</v>
      </c>
      <c r="G87" s="29"/>
    </row>
    <row r="88" spans="1:10" x14ac:dyDescent="0.25">
      <c r="A88" t="s">
        <v>12</v>
      </c>
      <c r="B88" s="26">
        <f>SUM('Nível de instrução'!G21:I21)</f>
        <v>0.45599999999999996</v>
      </c>
      <c r="C88" s="26">
        <f>SUM('Condição de moradia'!C21:D21)</f>
        <v>0.72300000000000009</v>
      </c>
      <c r="D88" s="26">
        <f>SUM('Acesso a esgoto'!C21:E21)</f>
        <v>0.755</v>
      </c>
      <c r="E88" s="46">
        <f>SUM('Acesso ao abastecimento de água'!C21:E21)</f>
        <v>0.95400000000000007</v>
      </c>
      <c r="F88" s="45">
        <v>2216</v>
      </c>
      <c r="G88" s="30"/>
    </row>
    <row r="89" spans="1:10" x14ac:dyDescent="0.25">
      <c r="A89" t="s">
        <v>26</v>
      </c>
      <c r="B89" s="26">
        <f>SUM('Nível de instrução'!G22:I22)</f>
        <v>0.51400000000000001</v>
      </c>
      <c r="C89" s="26">
        <f>SUM('Condição de moradia'!C22:D22)</f>
        <v>0.76</v>
      </c>
      <c r="D89" s="26">
        <f>SUM('Acesso a esgoto'!C22:E22)</f>
        <v>0.92399999999999993</v>
      </c>
      <c r="E89" s="46">
        <f>SUM('Acesso ao abastecimento de água'!C22:E22)</f>
        <v>0.98499999999999999</v>
      </c>
      <c r="F89" s="45">
        <v>2963</v>
      </c>
      <c r="G89" s="28"/>
    </row>
    <row r="90" spans="1:10" x14ac:dyDescent="0.25">
      <c r="A90" t="s">
        <v>1</v>
      </c>
      <c r="B90" s="26">
        <f>SUM('Nível de instrução'!G23:I23)</f>
        <v>0.46300000000000008</v>
      </c>
      <c r="C90" s="26">
        <f>SUM('Condição de moradia'!C23:D23)</f>
        <v>0.66500000000000004</v>
      </c>
      <c r="D90" s="26">
        <f>SUM('Acesso a esgoto'!C23:E23)</f>
        <v>0.65300000000000002</v>
      </c>
      <c r="E90" s="46">
        <f>SUM('Acesso ao abastecimento de água'!C23:E23)</f>
        <v>0.97499999999999998</v>
      </c>
      <c r="F90" s="22">
        <v>2334</v>
      </c>
    </row>
    <row r="91" spans="1:10" x14ac:dyDescent="0.25">
      <c r="A91" t="s">
        <v>4</v>
      </c>
      <c r="B91" s="26">
        <f>SUM('Nível de instrução'!G24:I24)</f>
        <v>0.626</v>
      </c>
      <c r="C91" s="26">
        <f>SUM('Condição de moradia'!C24:D24)</f>
        <v>0.65600000000000003</v>
      </c>
      <c r="D91" s="26">
        <f>SUM('Acesso a esgoto'!C24:E24)</f>
        <v>0.91199999999999992</v>
      </c>
      <c r="E91" s="46">
        <f>SUM('Acesso ao abastecimento de água'!C24:E24)</f>
        <v>0.998</v>
      </c>
      <c r="F91" s="22">
        <v>2540</v>
      </c>
    </row>
    <row r="92" spans="1:10" x14ac:dyDescent="0.25">
      <c r="A92" t="s">
        <v>25</v>
      </c>
      <c r="B92" s="26">
        <f>SUM('Nível de instrução'!G25:I25)</f>
        <v>0.53799999999999992</v>
      </c>
      <c r="C92" s="26">
        <f>SUM('Condição de moradia'!C25:D25)</f>
        <v>0.70599999999999996</v>
      </c>
      <c r="D92" s="26">
        <f>SUM('Acesso a esgoto'!C25:E25)</f>
        <v>0.90700000000000003</v>
      </c>
      <c r="E92" s="46">
        <f>SUM('Acesso ao abastecimento de água'!C25:E25)</f>
        <v>0.94499999999999995</v>
      </c>
      <c r="F92" s="22">
        <v>3030</v>
      </c>
    </row>
    <row r="93" spans="1:10" x14ac:dyDescent="0.25">
      <c r="A93" t="s">
        <v>22</v>
      </c>
      <c r="B93" s="26">
        <f>SUM('Nível de instrução'!G26:I26)</f>
        <v>0.628</v>
      </c>
      <c r="C93" s="26">
        <f>SUM('Condição de moradia'!C26:D26)</f>
        <v>0.65499999999999992</v>
      </c>
      <c r="D93" s="26">
        <f>SUM('Acesso a esgoto'!C26:E26)</f>
        <v>0.96500000000000008</v>
      </c>
      <c r="E93" s="46">
        <f>SUM('Acesso ao abastecimento de água'!C26:E26)</f>
        <v>0.99</v>
      </c>
      <c r="F93" s="22">
        <v>3254</v>
      </c>
    </row>
    <row r="94" spans="1:10" x14ac:dyDescent="0.25">
      <c r="A94" t="s">
        <v>16</v>
      </c>
      <c r="B94" s="26">
        <f>SUM('Nível de instrução'!G27:I27)</f>
        <v>0.433</v>
      </c>
      <c r="C94" s="26">
        <f>SUM('Condição de moradia'!C27:D27)</f>
        <v>0.67700000000000005</v>
      </c>
      <c r="D94" s="26">
        <f>SUM('Acesso a esgoto'!C27:E27)</f>
        <v>0.61699999999999999</v>
      </c>
      <c r="E94" s="46">
        <f>SUM('Acesso ao abastecimento de água'!C27:E27)</f>
        <v>0.95800000000000007</v>
      </c>
      <c r="F94" s="22">
        <v>2030</v>
      </c>
      <c r="I94" s="26"/>
      <c r="J94" s="26"/>
    </row>
    <row r="95" spans="1:10" x14ac:dyDescent="0.25">
      <c r="A95" t="s">
        <v>7</v>
      </c>
      <c r="B95" s="26">
        <f>SUM('Nível de instrução'!G28:I28)</f>
        <v>0.52499999999999991</v>
      </c>
      <c r="C95" s="26">
        <f>SUM('Condição de moradia'!C28:D28)</f>
        <v>0.67300000000000004</v>
      </c>
      <c r="D95" s="26">
        <f>SUM('Acesso a esgoto'!C28:E28)</f>
        <v>0.59099999999999997</v>
      </c>
      <c r="E95" s="46">
        <f>SUM('Acesso ao abastecimento de água'!C28:E28)</f>
        <v>0.97499999999999998</v>
      </c>
      <c r="F95" s="22">
        <v>2432</v>
      </c>
      <c r="I95" s="26"/>
      <c r="J95" s="26"/>
    </row>
    <row r="96" spans="1:10" x14ac:dyDescent="0.25">
      <c r="I96" s="26"/>
      <c r="J96" s="26"/>
    </row>
    <row r="97" spans="1:12" ht="15.75" thickBot="1" x14ac:dyDescent="0.3">
      <c r="J97" s="27"/>
    </row>
    <row r="98" spans="1:12" x14ac:dyDescent="0.25">
      <c r="A98" s="3"/>
      <c r="B98" s="52" t="s">
        <v>124</v>
      </c>
      <c r="C98" s="53" t="s">
        <v>124</v>
      </c>
      <c r="D98" s="53" t="s">
        <v>124</v>
      </c>
      <c r="E98" s="53" t="s">
        <v>124</v>
      </c>
      <c r="F98" s="54" t="s">
        <v>124</v>
      </c>
      <c r="J98" s="27"/>
    </row>
    <row r="99" spans="1:12" x14ac:dyDescent="0.25">
      <c r="B99" s="49" t="str" cm="1">
        <f t="array" ref="B99:B103">INDEX($A$69:$A$95, MATCH(LARGE(Tabela13[Nível de Instrução],$A$102:$A$106),Tabela13[Nível de Instrução], 0))</f>
        <v>Distrito Federal</v>
      </c>
      <c r="C99" s="49" t="str" cm="1">
        <f t="array" ref="C99:C103">INDEX($A$69:$A$95, MATCH(LARGE(Tabela13[Condição de Moradia],$A$102:$A$106),Tabela13[Condição de Moradia], 0))</f>
        <v>Amapá</v>
      </c>
      <c r="D99" s="49" t="str" cm="1">
        <f t="array" ref="D99:D103">INDEX($A$69:$A$95, MATCH(LARGE(Tabela13[Acesso à Esgoto],$A$102:$A$106),Tabela13[Acesso à Esgoto], 0))</f>
        <v>Distrito Federal</v>
      </c>
      <c r="E99" s="49" t="str" cm="1">
        <f t="array" ref="E99:E103">INDEX($A$69:$A$95, MATCH(LARGE(Tabela13[Abastecimento de Água],$A$102:$A$106),Tabela13[Abastecimento de Água], 0))</f>
        <v>Roraima</v>
      </c>
      <c r="F99" s="49" t="str" cm="1">
        <f t="array" ref="F99:F103">INDEX($A$69:$A$95, MATCH(LARGE(Tabela13[Renda Média],$A$102:$A$106),Tabela13[Renda Média], 0))</f>
        <v>Distrito Federal</v>
      </c>
      <c r="H99" s="26"/>
      <c r="I99" s="27"/>
      <c r="J99" s="26"/>
      <c r="K99" s="26"/>
      <c r="L99" s="22"/>
    </row>
    <row r="100" spans="1:12" ht="15.75" thickBot="1" x14ac:dyDescent="0.3">
      <c r="B100" s="49" t="str">
        <v>Rio de Janeiro</v>
      </c>
      <c r="C100" s="49" t="str">
        <v>Amapá</v>
      </c>
      <c r="D100" s="49" t="str">
        <v>São Paulo</v>
      </c>
      <c r="E100" s="49" t="str">
        <v>Distrito Federal</v>
      </c>
      <c r="F100" s="49" t="str">
        <v>São Paulo</v>
      </c>
      <c r="H100" s="26"/>
      <c r="I100" s="27"/>
      <c r="J100" s="26"/>
      <c r="K100" s="26"/>
      <c r="L100" s="22"/>
    </row>
    <row r="101" spans="1:12" x14ac:dyDescent="0.25">
      <c r="A101" s="48" t="s">
        <v>126</v>
      </c>
      <c r="B101" s="49" t="str">
        <v>São Paulo</v>
      </c>
      <c r="C101" s="49" t="str">
        <v>Piauí</v>
      </c>
      <c r="D101" s="49" t="str">
        <v>Rio de Janeiro</v>
      </c>
      <c r="E101" s="49" t="str">
        <v>Mato Grosso do Sul</v>
      </c>
      <c r="F101" s="49" t="str">
        <v>Rio de Janeiro</v>
      </c>
      <c r="H101" s="26"/>
      <c r="I101" s="27"/>
      <c r="J101" s="26"/>
      <c r="K101" s="26"/>
      <c r="L101" s="22"/>
    </row>
    <row r="102" spans="1:12" x14ac:dyDescent="0.25">
      <c r="A102" s="47">
        <v>1</v>
      </c>
      <c r="B102" s="49" t="str">
        <v>Roraima</v>
      </c>
      <c r="C102" s="49" t="str">
        <v>Amazonas</v>
      </c>
      <c r="D102" s="49" t="str">
        <v>Rio Grande do Sul</v>
      </c>
      <c r="E102" s="49" t="str">
        <v>São Paulo</v>
      </c>
      <c r="F102" s="49" t="str">
        <v>Santa Catarina</v>
      </c>
      <c r="J102" s="26"/>
    </row>
    <row r="103" spans="1:12" x14ac:dyDescent="0.25">
      <c r="A103" s="47">
        <v>2</v>
      </c>
      <c r="B103" s="49" t="str">
        <v>Amapá</v>
      </c>
      <c r="C103" s="49" t="str">
        <v>Pará</v>
      </c>
      <c r="D103" s="49" t="str">
        <v>Roraima</v>
      </c>
      <c r="E103" s="49" t="str">
        <v>Goiás</v>
      </c>
      <c r="F103" s="49" t="str">
        <v>Mato Grosso do Sul</v>
      </c>
      <c r="J103" s="26"/>
    </row>
    <row r="104" spans="1:12" x14ac:dyDescent="0.25">
      <c r="A104" s="50">
        <v>3</v>
      </c>
      <c r="H104" s="26"/>
      <c r="I104" s="27"/>
      <c r="J104" s="26"/>
      <c r="K104" s="26"/>
      <c r="L104" s="22"/>
    </row>
    <row r="105" spans="1:12" x14ac:dyDescent="0.25">
      <c r="A105" s="50">
        <v>4</v>
      </c>
      <c r="H105" s="26"/>
      <c r="I105" s="27"/>
      <c r="J105" s="26"/>
      <c r="K105" s="26"/>
      <c r="L105" s="22"/>
    </row>
    <row r="106" spans="1:12" ht="15.75" thickBot="1" x14ac:dyDescent="0.3">
      <c r="A106" s="51">
        <v>5</v>
      </c>
      <c r="H106" s="26"/>
      <c r="I106" s="27"/>
      <c r="J106" s="26"/>
      <c r="K106" s="26"/>
      <c r="L106" s="22"/>
    </row>
    <row r="107" spans="1:12" x14ac:dyDescent="0.25">
      <c r="A107" s="3"/>
      <c r="B107" s="3"/>
      <c r="C107" s="3"/>
      <c r="D107" s="3"/>
      <c r="E107" s="3"/>
      <c r="F107" s="3"/>
    </row>
    <row r="108" spans="1:12" ht="15.75" thickBot="1" x14ac:dyDescent="0.3">
      <c r="I108" s="26"/>
    </row>
    <row r="109" spans="1:12" x14ac:dyDescent="0.25">
      <c r="B109" s="52" t="s">
        <v>125</v>
      </c>
      <c r="C109" s="53" t="s">
        <v>125</v>
      </c>
      <c r="D109" s="53" t="s">
        <v>125</v>
      </c>
      <c r="E109" s="53" t="s">
        <v>125</v>
      </c>
      <c r="F109" s="54" t="s">
        <v>125</v>
      </c>
      <c r="I109" s="26"/>
    </row>
    <row r="110" spans="1:12" x14ac:dyDescent="0.25">
      <c r="B110" s="49" t="str" cm="1">
        <f t="array" ref="B110:B114">INDEX($A$69:$A$95, MATCH(SMALL(Tabela13[Nível de Instrução],$A$102:$A$106),Tabela13[Nível de Instrução], 0))</f>
        <v>Paraíba</v>
      </c>
      <c r="C110" s="49" t="str" cm="1">
        <f t="array" ref="C110:C114">INDEX($A$69:$A$95, MATCH(SMALL(Tabela13[Condição de Moradia],$A$102:$A$106),Tabela13[Condição de Moradia], 0))</f>
        <v>Distrito Federal</v>
      </c>
      <c r="D110" s="49" t="str" cm="1">
        <f t="array" ref="D110:D114">INDEX($A$69:$A$95, MATCH(SMALL(Tabela13[Acesso à Esgoto],$A$102:$A$106),Tabela13[Acesso à Esgoto], 0))</f>
        <v>Amapá</v>
      </c>
      <c r="E110" s="49" t="str" cm="1">
        <f t="array" ref="E110:E114">INDEX($A$69:$A$95, MATCH(SMALL(Tabela13[Abastecimento de Água],$A$102:$A$106),Tabela13[Abastecimento de Água], 0))</f>
        <v>Paraíba</v>
      </c>
      <c r="F110" s="49" t="str" cm="1">
        <f t="array" ref="F110:F114">INDEX($A$69:$A$95, MATCH(SMALL(Tabela13[Renda Média],$A$102:$A$106),Tabela13[Renda Média], 0))</f>
        <v>Bahia</v>
      </c>
      <c r="I110" s="26"/>
    </row>
    <row r="111" spans="1:12" x14ac:dyDescent="0.25">
      <c r="B111" s="49" t="str">
        <v>Piauí</v>
      </c>
      <c r="C111" s="49" t="str">
        <v>Goiás</v>
      </c>
      <c r="D111" s="49" t="str">
        <v>Tocantins</v>
      </c>
      <c r="E111" s="49" t="str">
        <v>Amazonas</v>
      </c>
      <c r="F111" s="49" t="str">
        <v>Maranhão</v>
      </c>
    </row>
    <row r="112" spans="1:12" x14ac:dyDescent="0.25">
      <c r="B112" s="49" t="str">
        <v>Alagoas</v>
      </c>
      <c r="C112" s="49" t="str">
        <v>Mato Grosso do Sul</v>
      </c>
      <c r="D112" s="49" t="str">
        <v>Amazonas</v>
      </c>
      <c r="E112" s="49" t="str">
        <v>Pernambuco</v>
      </c>
      <c r="F112" s="49" t="str">
        <v>Alagoas</v>
      </c>
    </row>
    <row r="113" spans="2:6" x14ac:dyDescent="0.25">
      <c r="B113" s="49" t="str">
        <v>Maranhão</v>
      </c>
      <c r="C113" s="49" t="str">
        <v>Mato Grosso</v>
      </c>
      <c r="D113" s="49" t="str">
        <v>Pará</v>
      </c>
      <c r="E113" s="49" t="str">
        <v>Alagoas</v>
      </c>
      <c r="F113" s="49" t="str">
        <v>Ceará</v>
      </c>
    </row>
    <row r="114" spans="2:6" x14ac:dyDescent="0.25">
      <c r="B114" s="49" t="str">
        <v>Sergipe</v>
      </c>
      <c r="C114" s="49" t="str">
        <v>São Paulo</v>
      </c>
      <c r="D114" s="49" t="str">
        <v>Sergipe</v>
      </c>
      <c r="E114" s="49" t="str">
        <v>Acre</v>
      </c>
      <c r="F114" s="49" t="str">
        <v>Pernambuco</v>
      </c>
    </row>
    <row r="117" spans="2:6" x14ac:dyDescent="0.25">
      <c r="B117" t="s">
        <v>129</v>
      </c>
      <c r="E117" t="s">
        <v>35</v>
      </c>
    </row>
    <row r="118" spans="2:6" x14ac:dyDescent="0.25">
      <c r="B118" s="56" t="str" cm="1">
        <f t="array" ref="B118:B122">IF('Avaliação das UF'!AT39="Renda Média",_xlfn.ANCHORARRAY(F99),IF('Avaliação das UF'!AT39="Nível de Instrução",_xlfn.ANCHORARRAY(B99),IF('Avaliação das UF'!AT39="Condição de Moradia",_xlfn.ANCHORARRAY(C99),IF('Avaliação das UF'!AT39="Acesso à Esgoto",_xlfn.ANCHORARRAY(D99),IF('Avaliação das UF'!AT39="Abastecimento de Água",_xlfn.ANCHORARRAY(E99),0)))))</f>
        <v>Distrito Federal</v>
      </c>
      <c r="C118" s="58" cm="1">
        <f t="array" ref="C118:C122">IF('Avaliação das UF'!AT39="Renda Média",_xlfn.XLOOKUP(_xlfn.ANCHORARRAY(F99),$A$69:$A$95,Tabela13[Renda Média]),IF('Avaliação das UF'!AT39="Nível de Instrução",_xlfn.XLOOKUP(_xlfn.ANCHORARRAY(B99),$A$69:$A$95,Tabela13[Nível de Instrução]),IF('Avaliação das UF'!AT39="Condição de Moradia",_xlfn.XLOOKUP(_xlfn.ANCHORARRAY(C99),$A$69:$A$95,Tabela13[Condição de Moradia]),IF('Avaliação das UF'!AT39="Acesso à Esgoto",_xlfn.XLOOKUP(_xlfn.ANCHORARRAY(D99),$A$69:$A$95,Tabela13[Acesso à Esgoto]),IF('Avaliação das UF'!AT39="Abastecimento de Água",_xlfn.XLOOKUP(_xlfn.ANCHORARRAY(E99),$A$69:$A$95,Tabela13[Abastecimento de Água]),0)))))</f>
        <v>0.98299999999999998</v>
      </c>
      <c r="E118" s="49" t="str" cm="1">
        <f t="array" ref="E118:E122">INDEX($A$69:$A$95, MATCH(LARGE(Tabela13[Renda Média],$A$102:$A$106),Tabela13[Renda Média], 0))</f>
        <v>Distrito Federal</v>
      </c>
      <c r="F118" s="22" cm="1">
        <f t="array" ref="F118:F122">_xlfn.XLOOKUP(_xlfn.ANCHORARRAY(F99),$A$69:$A$95,Tabela13[Renda Média])</f>
        <v>4403</v>
      </c>
    </row>
    <row r="119" spans="2:6" x14ac:dyDescent="0.25">
      <c r="B119" s="56" t="str">
        <v>São Paulo</v>
      </c>
      <c r="C119" s="58">
        <v>0.96500000000000008</v>
      </c>
      <c r="E119" s="49" t="str">
        <v>São Paulo</v>
      </c>
      <c r="F119" s="22">
        <v>3254</v>
      </c>
    </row>
    <row r="120" spans="2:6" x14ac:dyDescent="0.25">
      <c r="B120" s="56" t="str">
        <v>Rio de Janeiro</v>
      </c>
      <c r="C120" s="58">
        <v>0.94700000000000006</v>
      </c>
      <c r="E120" s="49" t="str">
        <v>Rio de Janeiro</v>
      </c>
      <c r="F120" s="22">
        <v>3207</v>
      </c>
    </row>
    <row r="121" spans="2:6" x14ac:dyDescent="0.25">
      <c r="B121" s="56" t="str">
        <v>Rio Grande do Sul</v>
      </c>
      <c r="C121" s="58">
        <v>0.92399999999999993</v>
      </c>
      <c r="E121" s="49" t="str">
        <v>Santa Catarina</v>
      </c>
      <c r="F121" s="22">
        <v>3030</v>
      </c>
    </row>
    <row r="122" spans="2:6" x14ac:dyDescent="0.25">
      <c r="B122" s="56" t="str">
        <v>Roraima</v>
      </c>
      <c r="C122" s="58">
        <v>0.91199999999999992</v>
      </c>
      <c r="E122" s="49" t="str">
        <v>Mato Grosso do Sul</v>
      </c>
      <c r="F122" s="22">
        <v>2982</v>
      </c>
    </row>
    <row r="123" spans="2:6" x14ac:dyDescent="0.25">
      <c r="B123" s="55"/>
      <c r="C123" s="55"/>
    </row>
    <row r="124" spans="2:6" x14ac:dyDescent="0.25">
      <c r="B124" s="57" t="str" cm="1">
        <f t="array" ref="B124:B128">IF('Avaliação das UF'!AT39="Renda Média",_xlfn.ANCHORARRAY(F110),IF('Avaliação das UF'!AT39="Nível de Instrução",_xlfn.ANCHORARRAY(B110),IF('Avaliação das UF'!AT39="Condição de Moradia",_xlfn.ANCHORARRAY(C110),IF('Avaliação das UF'!AT39="Acesso à Esgoto",_xlfn.ANCHORARRAY(D110),IF('Avaliação das UF'!AT39="Abastecimento de Água",_xlfn.ANCHORARRAY(E110),0)))))</f>
        <v>Amapá</v>
      </c>
      <c r="C124" s="59" cm="1">
        <f t="array" ref="C124:C128">IF('Avaliação das UF'!AT39="Renda Média",_xlfn.XLOOKUP(_xlfn.ANCHORARRAY(F110),$A$69:$A$95,Tabela13[Renda Média]),IF('Avaliação das UF'!AT39="Nível de Instrução",_xlfn.XLOOKUP(_xlfn.ANCHORARRAY(B110),$A$69:$A$95,Tabela13[Nível de Instrução]),IF('Avaliação das UF'!AT39="Condição de Moradia",_xlfn.XLOOKUP(_xlfn.ANCHORARRAY(C110),$A$69:$A$95,Tabela13[Condição de Moradia]),IF('Avaliação das UF'!AT39="Acesso à Esgoto",_xlfn.XLOOKUP(_xlfn.ANCHORARRAY(D110),$A$69:$A$95,Tabela13[Acesso à Esgoto]),IF('Avaliação das UF'!AT39="Abastecimento de Água",_xlfn.XLOOKUP(_xlfn.ANCHORARRAY(E110),$A$69:$A$95,Tabela13[Abastecimento de Água]),0)))))</f>
        <v>0.51400000000000001</v>
      </c>
      <c r="E124" s="49" t="str" cm="1">
        <f t="array" ref="E124:E128">INDEX($A$69:$A$95, MATCH(SMALL(Tabela13[Renda Média],$A$102:$A$106),Tabela13[Renda Média], 0))</f>
        <v>Bahia</v>
      </c>
      <c r="F124" s="22" cm="1">
        <f t="array" ref="F124:F128">_xlfn.XLOOKUP(_xlfn.ANCHORARRAY(F110),$A$69:$A$95,Tabela13[Renda Média])</f>
        <v>1662</v>
      </c>
    </row>
    <row r="125" spans="2:6" x14ac:dyDescent="0.25">
      <c r="B125" s="57" t="str">
        <v>Tocantins</v>
      </c>
      <c r="C125" s="59">
        <v>0.59099999999999997</v>
      </c>
      <c r="E125" s="49" t="str">
        <v>Maranhão</v>
      </c>
      <c r="F125" s="22">
        <v>1663</v>
      </c>
    </row>
    <row r="126" spans="2:6" x14ac:dyDescent="0.25">
      <c r="B126" s="57" t="str">
        <v>Amazonas</v>
      </c>
      <c r="C126" s="59">
        <v>0.60999999999999988</v>
      </c>
      <c r="E126" s="49" t="str">
        <v>Alagoas</v>
      </c>
      <c r="F126" s="22">
        <v>1780</v>
      </c>
    </row>
    <row r="127" spans="2:6" x14ac:dyDescent="0.25">
      <c r="B127" s="57" t="str">
        <v>Pará</v>
      </c>
      <c r="C127" s="59">
        <v>0.61299999999999999</v>
      </c>
      <c r="E127" s="49" t="str">
        <v>Ceará</v>
      </c>
      <c r="F127" s="22">
        <v>1790</v>
      </c>
    </row>
    <row r="128" spans="2:6" x14ac:dyDescent="0.25">
      <c r="B128" s="57" t="str">
        <v>Sergipe</v>
      </c>
      <c r="C128" s="59">
        <v>0.61699999999999999</v>
      </c>
      <c r="E128" s="49" t="str">
        <v>Pernambuco</v>
      </c>
      <c r="F128" s="22">
        <v>1813</v>
      </c>
    </row>
    <row r="129" spans="3:10" x14ac:dyDescent="0.25">
      <c r="C129" s="60"/>
    </row>
    <row r="130" spans="3:10" x14ac:dyDescent="0.25">
      <c r="G130" s="25"/>
      <c r="J130" s="26"/>
    </row>
    <row r="131" spans="3:10" x14ac:dyDescent="0.25">
      <c r="J131" s="26"/>
    </row>
    <row r="132" spans="3:10" x14ac:dyDescent="0.25">
      <c r="J132" s="26"/>
    </row>
    <row r="133" spans="3:10" x14ac:dyDescent="0.25">
      <c r="J133" s="26"/>
    </row>
    <row r="134" spans="3:10" x14ac:dyDescent="0.25">
      <c r="J134" s="26"/>
    </row>
    <row r="135" spans="3:10" x14ac:dyDescent="0.25">
      <c r="J135" s="26"/>
    </row>
    <row r="136" spans="3:10" x14ac:dyDescent="0.25">
      <c r="J136" s="26"/>
    </row>
    <row r="137" spans="3:10" x14ac:dyDescent="0.25">
      <c r="J137" s="26"/>
    </row>
    <row r="138" spans="3:10" x14ac:dyDescent="0.25">
      <c r="J138" s="26"/>
    </row>
    <row r="139" spans="3:10" x14ac:dyDescent="0.25">
      <c r="J139" s="26"/>
    </row>
    <row r="140" spans="3:10" x14ac:dyDescent="0.25">
      <c r="J140" s="26"/>
    </row>
    <row r="141" spans="3:10" x14ac:dyDescent="0.25">
      <c r="J141" s="26"/>
    </row>
    <row r="158" spans="10:10" x14ac:dyDescent="0.25">
      <c r="J158" s="26"/>
    </row>
    <row r="159" spans="10:10" x14ac:dyDescent="0.25">
      <c r="J159" s="26"/>
    </row>
    <row r="160" spans="10:10" x14ac:dyDescent="0.25">
      <c r="J160" s="26"/>
    </row>
    <row r="161" spans="10:10" x14ac:dyDescent="0.25">
      <c r="J161" s="26"/>
    </row>
    <row r="162" spans="10:10" x14ac:dyDescent="0.25">
      <c r="J162" s="26"/>
    </row>
    <row r="163" spans="10:10" x14ac:dyDescent="0.25">
      <c r="J163" s="26"/>
    </row>
    <row r="164" spans="10:10" x14ac:dyDescent="0.25">
      <c r="J164" s="26"/>
    </row>
    <row r="165" spans="10:10" x14ac:dyDescent="0.25">
      <c r="J165" s="26"/>
    </row>
    <row r="166" spans="10:10" x14ac:dyDescent="0.25">
      <c r="J166" s="26"/>
    </row>
    <row r="167" spans="10:10" x14ac:dyDescent="0.25">
      <c r="J167" s="26"/>
    </row>
    <row r="168" spans="10:10" x14ac:dyDescent="0.25">
      <c r="J168" s="26"/>
    </row>
    <row r="169" spans="10:10" x14ac:dyDescent="0.25">
      <c r="J169" s="26"/>
    </row>
    <row r="190" spans="10:10" x14ac:dyDescent="0.25">
      <c r="J190" s="26"/>
    </row>
    <row r="191" spans="10:10" x14ac:dyDescent="0.25">
      <c r="J191" s="26"/>
    </row>
    <row r="192" spans="10:10" x14ac:dyDescent="0.25">
      <c r="J192" s="26"/>
    </row>
    <row r="193" spans="10:10" x14ac:dyDescent="0.25">
      <c r="J193" s="26"/>
    </row>
    <row r="194" spans="10:10" x14ac:dyDescent="0.25">
      <c r="J194" s="26"/>
    </row>
    <row r="195" spans="10:10" x14ac:dyDescent="0.25">
      <c r="J195" s="26"/>
    </row>
    <row r="196" spans="10:10" x14ac:dyDescent="0.25">
      <c r="J196" s="26"/>
    </row>
    <row r="197" spans="10:10" x14ac:dyDescent="0.25">
      <c r="J197" s="26"/>
    </row>
    <row r="198" spans="10:10" x14ac:dyDescent="0.25">
      <c r="J198" s="26"/>
    </row>
    <row r="199" spans="10:10" x14ac:dyDescent="0.25">
      <c r="J199" s="26"/>
    </row>
    <row r="200" spans="10:10" x14ac:dyDescent="0.25">
      <c r="J200" s="26"/>
    </row>
    <row r="201" spans="10:10" x14ac:dyDescent="0.25">
      <c r="J201" s="26"/>
    </row>
    <row r="202" spans="10:10" x14ac:dyDescent="0.25">
      <c r="J202" s="26"/>
    </row>
    <row r="203" spans="10:10" x14ac:dyDescent="0.25">
      <c r="J203" s="26"/>
    </row>
    <row r="219" spans="6:6" x14ac:dyDescent="0.25">
      <c r="F219" s="22"/>
    </row>
    <row r="220" spans="6:6" x14ac:dyDescent="0.25">
      <c r="F220" s="22"/>
    </row>
    <row r="221" spans="6:6" x14ac:dyDescent="0.25">
      <c r="F221" s="22"/>
    </row>
    <row r="222" spans="6:6" x14ac:dyDescent="0.25">
      <c r="F222" s="22"/>
    </row>
    <row r="223" spans="6:6" x14ac:dyDescent="0.25">
      <c r="F223" s="22"/>
    </row>
    <row r="224" spans="6:6" x14ac:dyDescent="0.25">
      <c r="F224" s="22"/>
    </row>
    <row r="225" spans="6:10" x14ac:dyDescent="0.25">
      <c r="F225" s="22"/>
    </row>
    <row r="226" spans="6:10" x14ac:dyDescent="0.25">
      <c r="F226" s="22"/>
    </row>
    <row r="227" spans="6:10" x14ac:dyDescent="0.25">
      <c r="F227" s="22"/>
      <c r="G227" s="26"/>
      <c r="H227" s="26"/>
      <c r="I227" s="26"/>
      <c r="J227" s="22"/>
    </row>
    <row r="228" spans="6:10" x14ac:dyDescent="0.25">
      <c r="F228" s="22"/>
      <c r="G228" s="26"/>
      <c r="H228" s="26"/>
      <c r="I228" s="26"/>
      <c r="J228" s="22"/>
    </row>
    <row r="229" spans="6:10" x14ac:dyDescent="0.25">
      <c r="F229" s="22"/>
      <c r="G229" s="26"/>
      <c r="H229" s="26"/>
      <c r="I229" s="26"/>
      <c r="J229" s="22"/>
    </row>
    <row r="230" spans="6:10" x14ac:dyDescent="0.25">
      <c r="F230" s="22"/>
      <c r="G230" s="26"/>
      <c r="H230" s="26"/>
      <c r="I230" s="26"/>
      <c r="J230" s="22"/>
    </row>
    <row r="231" spans="6:10" x14ac:dyDescent="0.25">
      <c r="F231" s="22"/>
      <c r="G231" s="26"/>
      <c r="H231" s="26"/>
      <c r="I231" s="26"/>
      <c r="J231" s="22"/>
    </row>
    <row r="232" spans="6:10" x14ac:dyDescent="0.25">
      <c r="F232" s="22"/>
      <c r="G232" s="26"/>
      <c r="H232" s="26"/>
      <c r="I232" s="26"/>
      <c r="J232" s="22"/>
    </row>
    <row r="233" spans="6:10" x14ac:dyDescent="0.25">
      <c r="F233" s="22"/>
      <c r="G233" s="26"/>
      <c r="H233" s="26"/>
      <c r="I233" s="26"/>
      <c r="J233" s="22"/>
    </row>
    <row r="234" spans="6:10" x14ac:dyDescent="0.25">
      <c r="F234" s="22"/>
      <c r="G234" s="26"/>
      <c r="H234" s="26"/>
      <c r="I234" s="26"/>
      <c r="J234" s="22"/>
    </row>
    <row r="235" spans="6:10" x14ac:dyDescent="0.25">
      <c r="F235" s="22"/>
      <c r="G235" s="26"/>
      <c r="H235" s="26"/>
      <c r="I235" s="26"/>
      <c r="J235" s="22"/>
    </row>
    <row r="236" spans="6:10" x14ac:dyDescent="0.25">
      <c r="F236" s="22"/>
      <c r="G236" s="26"/>
      <c r="H236" s="26"/>
      <c r="I236" s="26"/>
      <c r="J236" s="22"/>
    </row>
    <row r="237" spans="6:10" x14ac:dyDescent="0.25">
      <c r="F237" s="22"/>
      <c r="G237" s="26"/>
      <c r="H237" s="26"/>
      <c r="I237" s="26"/>
      <c r="J237" s="22"/>
    </row>
    <row r="238" spans="6:10" x14ac:dyDescent="0.25">
      <c r="F238" s="22"/>
      <c r="G238" s="26"/>
      <c r="H238" s="26"/>
      <c r="I238" s="26"/>
      <c r="J238" s="22"/>
    </row>
    <row r="239" spans="6:10" x14ac:dyDescent="0.25">
      <c r="F239" s="22"/>
      <c r="G239" s="26"/>
      <c r="H239" s="26"/>
      <c r="I239" s="26"/>
      <c r="J239" s="22"/>
    </row>
    <row r="240" spans="6:10" x14ac:dyDescent="0.25">
      <c r="F240" s="22"/>
      <c r="G240" s="26"/>
      <c r="H240" s="26"/>
      <c r="I240" s="26"/>
      <c r="J240" s="22"/>
    </row>
    <row r="241" spans="6:10" x14ac:dyDescent="0.25">
      <c r="F241" s="22"/>
      <c r="G241" s="26"/>
      <c r="H241" s="26"/>
      <c r="I241" s="26"/>
      <c r="J241" s="22"/>
    </row>
    <row r="242" spans="6:10" x14ac:dyDescent="0.25">
      <c r="F242" s="22"/>
      <c r="G242" s="26"/>
      <c r="H242" s="26"/>
      <c r="I242" s="26"/>
      <c r="J242" s="22"/>
    </row>
    <row r="243" spans="6:10" x14ac:dyDescent="0.25">
      <c r="F243" s="22"/>
      <c r="G243" s="26"/>
      <c r="H243" s="26"/>
      <c r="I243" s="26"/>
      <c r="J243" s="22"/>
    </row>
    <row r="244" spans="6:10" x14ac:dyDescent="0.25">
      <c r="F244" s="22"/>
      <c r="G244" s="26"/>
      <c r="H244" s="26"/>
      <c r="I244" s="26"/>
      <c r="J244" s="22"/>
    </row>
    <row r="245" spans="6:10" x14ac:dyDescent="0.25">
      <c r="F245" s="22"/>
      <c r="G245" s="26"/>
      <c r="H245" s="26"/>
      <c r="I245" s="26"/>
      <c r="J245" s="22"/>
    </row>
    <row r="246" spans="6:10" x14ac:dyDescent="0.25">
      <c r="F246" s="26"/>
      <c r="G246" s="26"/>
      <c r="H246" s="26"/>
      <c r="I246" s="26"/>
      <c r="J246" s="22"/>
    </row>
    <row r="247" spans="6:10" x14ac:dyDescent="0.25">
      <c r="F247" s="26"/>
      <c r="G247" s="26"/>
      <c r="H247" s="26"/>
      <c r="I247" s="26"/>
      <c r="J247" s="22"/>
    </row>
    <row r="248" spans="6:10" x14ac:dyDescent="0.25">
      <c r="F248" s="26"/>
      <c r="G248" s="26"/>
      <c r="H248" s="26"/>
      <c r="I248" s="26"/>
      <c r="J248" s="22"/>
    </row>
    <row r="249" spans="6:10" x14ac:dyDescent="0.25">
      <c r="G249" s="26"/>
      <c r="H249" s="26"/>
      <c r="I249" s="26"/>
      <c r="J249" s="22"/>
    </row>
    <row r="250" spans="6:10" x14ac:dyDescent="0.25">
      <c r="G250" s="26"/>
      <c r="H250" s="26"/>
      <c r="I250" s="26"/>
      <c r="J250" s="22"/>
    </row>
    <row r="251" spans="6:10" x14ac:dyDescent="0.25">
      <c r="G251" s="26"/>
      <c r="H251" s="26"/>
      <c r="I251" s="26"/>
      <c r="J251" s="22"/>
    </row>
    <row r="252" spans="6:10" x14ac:dyDescent="0.25">
      <c r="G252" s="26"/>
      <c r="H252" s="26"/>
      <c r="I252" s="26"/>
      <c r="J252" s="22"/>
    </row>
    <row r="253" spans="6:10" x14ac:dyDescent="0.25">
      <c r="G253" s="26"/>
      <c r="H253" s="26"/>
      <c r="I253" s="26"/>
      <c r="J253" s="22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6"/>
  <tableParts count="3"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274E54-F284-43ED-859A-A2421379D4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Estados</vt:lpstr>
      <vt:lpstr>UF e Região</vt:lpstr>
      <vt:lpstr>Nível de instrução</vt:lpstr>
      <vt:lpstr>Condição de moradia</vt:lpstr>
      <vt:lpstr>Bens em domicílio</vt:lpstr>
      <vt:lpstr>Acesso a esgoto</vt:lpstr>
      <vt:lpstr>Acesso ao abastecimento de água</vt:lpstr>
      <vt:lpstr>Renda Média</vt:lpstr>
      <vt:lpstr>Início</vt:lpstr>
      <vt:lpstr>Perfil Socioeconômico</vt:lpstr>
      <vt:lpstr>Avaliação das UF</vt:lpstr>
      <vt:lpstr>Fonte Dashboards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Henrique Zanette</dc:creator>
  <cp:lastModifiedBy>João Henrique Zanette</cp:lastModifiedBy>
  <dcterms:created xsi:type="dcterms:W3CDTF">2024-04-18T19:09:27Z</dcterms:created>
  <dcterms:modified xsi:type="dcterms:W3CDTF">2024-06-17T20:01:45Z</dcterms:modified>
</cp:coreProperties>
</file>